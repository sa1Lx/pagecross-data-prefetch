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ITB\5th_Semester\CS683\course_project\"/>
    </mc:Choice>
  </mc:AlternateContent>
  <xr:revisionPtr revIDLastSave="0" documentId="13_ncr:1_{1C51B57E-48D5-45F6-88E8-30A067DDB25C}" xr6:coauthVersionLast="47" xr6:coauthVersionMax="47" xr10:uidLastSave="{00000000-0000-0000-0000-000000000000}"/>
  <bookViews>
    <workbookView xWindow="-120" yWindow="-120" windowWidth="26640" windowHeight="14370" tabRatio="500" activeTab="4" xr2:uid="{00000000-000D-0000-FFFF-FFFF00000000}"/>
  </bookViews>
  <sheets>
    <sheet name="Raw" sheetId="1" r:id="rId1"/>
    <sheet name="PA2 traces" sheetId="2" r:id="rId2"/>
    <sheet name="Degree sweep" sheetId="3" r:id="rId3"/>
    <sheet name="SPEC17" sheetId="4" r:id="rId4"/>
    <sheet name="Final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5" i="5" l="1"/>
  <c r="J45" i="5"/>
  <c r="I45" i="5"/>
  <c r="H45" i="5"/>
  <c r="G45" i="5"/>
  <c r="F45" i="5"/>
  <c r="E45" i="5"/>
  <c r="D45" i="5"/>
  <c r="C45" i="5"/>
  <c r="B45" i="5"/>
  <c r="K44" i="5"/>
  <c r="J44" i="5"/>
  <c r="I44" i="5"/>
  <c r="H44" i="5"/>
  <c r="G44" i="5"/>
  <c r="F44" i="5"/>
  <c r="E44" i="5"/>
  <c r="D44" i="5"/>
  <c r="C44" i="5"/>
  <c r="B44" i="5"/>
  <c r="K43" i="5"/>
  <c r="J43" i="5"/>
  <c r="I43" i="5"/>
  <c r="H43" i="5"/>
  <c r="G43" i="5"/>
  <c r="F43" i="5"/>
  <c r="E43" i="5"/>
  <c r="D43" i="5"/>
  <c r="C43" i="5"/>
  <c r="B43" i="5"/>
  <c r="K42" i="5"/>
  <c r="J42" i="5"/>
  <c r="I42" i="5"/>
  <c r="H42" i="5"/>
  <c r="G42" i="5"/>
  <c r="F42" i="5"/>
  <c r="E42" i="5"/>
  <c r="D42" i="5"/>
  <c r="C42" i="5"/>
  <c r="B42" i="5"/>
  <c r="K41" i="5"/>
  <c r="J41" i="5"/>
  <c r="I41" i="5"/>
  <c r="H41" i="5"/>
  <c r="G41" i="5"/>
  <c r="F41" i="5"/>
  <c r="E41" i="5"/>
  <c r="D41" i="5"/>
  <c r="C41" i="5"/>
  <c r="B41" i="5"/>
  <c r="K40" i="5"/>
  <c r="J40" i="5"/>
  <c r="I40" i="5"/>
  <c r="H40" i="5"/>
  <c r="G40" i="5"/>
  <c r="F40" i="5"/>
  <c r="E40" i="5"/>
  <c r="D40" i="5"/>
  <c r="C40" i="5"/>
  <c r="C46" i="5" s="1"/>
  <c r="B40" i="5"/>
  <c r="B46" i="5" s="1"/>
  <c r="L10" i="5"/>
  <c r="K10" i="5"/>
  <c r="M10" i="5" s="1"/>
  <c r="J10" i="5"/>
  <c r="I10" i="5"/>
  <c r="H10" i="5"/>
  <c r="F10" i="5"/>
  <c r="G10" i="5" s="1"/>
  <c r="E10" i="5"/>
  <c r="C10" i="5"/>
  <c r="D10" i="5" s="1"/>
  <c r="B10" i="5"/>
  <c r="M9" i="5"/>
  <c r="L9" i="5"/>
  <c r="K9" i="5"/>
  <c r="J9" i="5"/>
  <c r="I9" i="5"/>
  <c r="H9" i="5"/>
  <c r="F9" i="5"/>
  <c r="E9" i="5"/>
  <c r="G9" i="5" s="1"/>
  <c r="D9" i="5"/>
  <c r="C9" i="5"/>
  <c r="B9" i="5"/>
  <c r="L8" i="5"/>
  <c r="K8" i="5"/>
  <c r="M8" i="5" s="1"/>
  <c r="J8" i="5"/>
  <c r="I8" i="5"/>
  <c r="H8" i="5"/>
  <c r="F8" i="5"/>
  <c r="G8" i="5" s="1"/>
  <c r="E8" i="5"/>
  <c r="D8" i="5"/>
  <c r="C8" i="5"/>
  <c r="B8" i="5"/>
  <c r="L7" i="5"/>
  <c r="K7" i="5"/>
  <c r="J7" i="5"/>
  <c r="M7" i="5" s="1"/>
  <c r="I7" i="5"/>
  <c r="H7" i="5"/>
  <c r="G7" i="5"/>
  <c r="F7" i="5"/>
  <c r="E7" i="5"/>
  <c r="D7" i="5"/>
  <c r="C7" i="5"/>
  <c r="B7" i="5"/>
  <c r="L6" i="5"/>
  <c r="K6" i="5"/>
  <c r="M6" i="5" s="1"/>
  <c r="J6" i="5"/>
  <c r="I6" i="5"/>
  <c r="H6" i="5"/>
  <c r="F6" i="5"/>
  <c r="G6" i="5" s="1"/>
  <c r="E6" i="5"/>
  <c r="C6" i="5"/>
  <c r="D6" i="5" s="1"/>
  <c r="B6" i="5"/>
  <c r="M5" i="5"/>
  <c r="L5" i="5"/>
  <c r="K5" i="5"/>
  <c r="J5" i="5"/>
  <c r="I5" i="5"/>
  <c r="H5" i="5"/>
  <c r="F5" i="5"/>
  <c r="G5" i="5" s="1"/>
  <c r="E5" i="5"/>
  <c r="D5" i="5"/>
  <c r="C5" i="5"/>
  <c r="B5" i="5"/>
  <c r="J33" i="4"/>
  <c r="I33" i="4"/>
  <c r="H33" i="4"/>
  <c r="G33" i="4"/>
  <c r="F33" i="4"/>
  <c r="E33" i="4"/>
  <c r="C33" i="4"/>
  <c r="B33" i="4"/>
  <c r="D33" i="4" s="1"/>
  <c r="J32" i="4"/>
  <c r="I32" i="4"/>
  <c r="H32" i="4"/>
  <c r="G32" i="4"/>
  <c r="F32" i="4"/>
  <c r="E32" i="4"/>
  <c r="C32" i="4"/>
  <c r="D32" i="4" s="1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C29" i="4"/>
  <c r="D29" i="4" s="1"/>
  <c r="B29" i="4"/>
  <c r="J28" i="4"/>
  <c r="I28" i="4"/>
  <c r="H28" i="4"/>
  <c r="G28" i="4"/>
  <c r="F28" i="4"/>
  <c r="E28" i="4"/>
  <c r="C28" i="4"/>
  <c r="D28" i="4" s="1"/>
  <c r="B28" i="4"/>
  <c r="J27" i="4"/>
  <c r="I27" i="4"/>
  <c r="H27" i="4"/>
  <c r="G27" i="4"/>
  <c r="F27" i="4"/>
  <c r="E27" i="4"/>
  <c r="C27" i="4"/>
  <c r="B27" i="4"/>
  <c r="D27" i="4" s="1"/>
  <c r="J26" i="4"/>
  <c r="I26" i="4"/>
  <c r="H26" i="4"/>
  <c r="G26" i="4"/>
  <c r="F26" i="4"/>
  <c r="E26" i="4"/>
  <c r="C26" i="4"/>
  <c r="D26" i="4" s="1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C24" i="4"/>
  <c r="D24" i="4" s="1"/>
  <c r="B24" i="4"/>
  <c r="J23" i="4"/>
  <c r="I23" i="4"/>
  <c r="H23" i="4"/>
  <c r="G23" i="4"/>
  <c r="F23" i="4"/>
  <c r="E23" i="4"/>
  <c r="C23" i="4"/>
  <c r="D23" i="4" s="1"/>
  <c r="B23" i="4"/>
  <c r="J22" i="4"/>
  <c r="I22" i="4"/>
  <c r="H22" i="4"/>
  <c r="G22" i="4"/>
  <c r="F22" i="4"/>
  <c r="E22" i="4"/>
  <c r="C22" i="4"/>
  <c r="D22" i="4" s="1"/>
  <c r="D34" i="4" s="1"/>
  <c r="B22" i="4"/>
  <c r="J16" i="4"/>
  <c r="I16" i="4"/>
  <c r="H16" i="4"/>
  <c r="G16" i="4"/>
  <c r="F16" i="4"/>
  <c r="E16" i="4"/>
  <c r="C16" i="4"/>
  <c r="D16" i="4" s="1"/>
  <c r="B16" i="4"/>
  <c r="J15" i="4"/>
  <c r="I15" i="4"/>
  <c r="H15" i="4"/>
  <c r="G15" i="4"/>
  <c r="F15" i="4"/>
  <c r="E15" i="4"/>
  <c r="C15" i="4"/>
  <c r="B15" i="4"/>
  <c r="D15" i="4" s="1"/>
  <c r="J14" i="4"/>
  <c r="I14" i="4"/>
  <c r="H14" i="4"/>
  <c r="G14" i="4"/>
  <c r="F14" i="4"/>
  <c r="E14" i="4"/>
  <c r="C14" i="4"/>
  <c r="D14" i="4" s="1"/>
  <c r="B14" i="4"/>
  <c r="J13" i="4"/>
  <c r="I13" i="4"/>
  <c r="H13" i="4"/>
  <c r="G13" i="4"/>
  <c r="F13" i="4"/>
  <c r="E13" i="4"/>
  <c r="D13" i="4"/>
  <c r="C13" i="4"/>
  <c r="B13" i="4"/>
  <c r="J12" i="4"/>
  <c r="I12" i="4"/>
  <c r="H12" i="4"/>
  <c r="G12" i="4"/>
  <c r="F12" i="4"/>
  <c r="E12" i="4"/>
  <c r="C12" i="4"/>
  <c r="D12" i="4" s="1"/>
  <c r="B12" i="4"/>
  <c r="J11" i="4"/>
  <c r="I11" i="4"/>
  <c r="H11" i="4"/>
  <c r="G11" i="4"/>
  <c r="F11" i="4"/>
  <c r="E11" i="4"/>
  <c r="C11" i="4"/>
  <c r="D11" i="4" s="1"/>
  <c r="B11" i="4"/>
  <c r="J10" i="4"/>
  <c r="I10" i="4"/>
  <c r="H10" i="4"/>
  <c r="G10" i="4"/>
  <c r="F10" i="4"/>
  <c r="E10" i="4"/>
  <c r="C10" i="4"/>
  <c r="D10" i="4" s="1"/>
  <c r="B10" i="4"/>
  <c r="J9" i="4"/>
  <c r="I9" i="4"/>
  <c r="H9" i="4"/>
  <c r="G9" i="4"/>
  <c r="F9" i="4"/>
  <c r="E9" i="4"/>
  <c r="C9" i="4"/>
  <c r="B9" i="4"/>
  <c r="D9" i="4" s="1"/>
  <c r="J8" i="4"/>
  <c r="I8" i="4"/>
  <c r="H8" i="4"/>
  <c r="G8" i="4"/>
  <c r="F8" i="4"/>
  <c r="E8" i="4"/>
  <c r="C8" i="4"/>
  <c r="D8" i="4" s="1"/>
  <c r="B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C6" i="4"/>
  <c r="D6" i="4" s="1"/>
  <c r="B6" i="4"/>
  <c r="J5" i="4"/>
  <c r="I5" i="4"/>
  <c r="H5" i="4"/>
  <c r="G5" i="4"/>
  <c r="F5" i="4"/>
  <c r="E5" i="4"/>
  <c r="C5" i="4"/>
  <c r="D5" i="4" s="1"/>
  <c r="D17" i="4" s="1"/>
  <c r="B5" i="4"/>
  <c r="E24" i="3"/>
  <c r="D24" i="3"/>
  <c r="C24" i="3"/>
  <c r="E23" i="3"/>
  <c r="D23" i="3"/>
  <c r="C23" i="3"/>
  <c r="E22" i="3"/>
  <c r="D22" i="3"/>
  <c r="C22" i="3"/>
  <c r="E21" i="3"/>
  <c r="D21" i="3"/>
  <c r="C21" i="3"/>
  <c r="E16" i="3"/>
  <c r="D16" i="3"/>
  <c r="C16" i="3"/>
  <c r="E15" i="3"/>
  <c r="D15" i="3"/>
  <c r="C15" i="3"/>
  <c r="E14" i="3"/>
  <c r="D14" i="3"/>
  <c r="C14" i="3"/>
  <c r="E13" i="3"/>
  <c r="D13" i="3"/>
  <c r="C13" i="3"/>
  <c r="E8" i="3"/>
  <c r="D8" i="3"/>
  <c r="C8" i="3"/>
  <c r="F8" i="3" s="1"/>
  <c r="E7" i="3"/>
  <c r="D7" i="3"/>
  <c r="C7" i="3"/>
  <c r="F7" i="3" s="1"/>
  <c r="E6" i="3"/>
  <c r="D6" i="3"/>
  <c r="C6" i="3"/>
  <c r="F6" i="3" s="1"/>
  <c r="E5" i="3"/>
  <c r="F5" i="3" s="1"/>
  <c r="D5" i="3"/>
  <c r="C5" i="3"/>
  <c r="G14" i="2"/>
  <c r="F14" i="2"/>
  <c r="E14" i="2"/>
  <c r="D14" i="2"/>
  <c r="C14" i="2"/>
  <c r="B14" i="2"/>
  <c r="G13" i="2"/>
  <c r="F13" i="2"/>
  <c r="E13" i="2"/>
  <c r="C13" i="2"/>
  <c r="D13" i="2" s="1"/>
  <c r="B13" i="2"/>
  <c r="G12" i="2"/>
  <c r="F12" i="2"/>
  <c r="E12" i="2"/>
  <c r="C12" i="2"/>
  <c r="D12" i="2" s="1"/>
  <c r="B12" i="2"/>
  <c r="F7" i="2"/>
  <c r="E7" i="2"/>
  <c r="C7" i="2"/>
  <c r="D7" i="2" s="1"/>
  <c r="B7" i="2"/>
  <c r="F6" i="2"/>
  <c r="E6" i="2"/>
  <c r="C6" i="2"/>
  <c r="D6" i="2" s="1"/>
  <c r="B6" i="2"/>
  <c r="F5" i="2"/>
  <c r="E5" i="2"/>
  <c r="C5" i="2"/>
  <c r="D5" i="2" s="1"/>
  <c r="D8" i="2" s="1"/>
  <c r="B5" i="2"/>
  <c r="D11" i="5" l="1"/>
</calcChain>
</file>

<file path=xl/sharedStrings.xml><?xml version="1.0" encoding="utf-8"?>
<sst xmlns="http://schemas.openxmlformats.org/spreadsheetml/2006/main" count="571" uniqueCount="108">
  <si>
    <t>Experiment</t>
  </si>
  <si>
    <t>Prefetcher</t>
  </si>
  <si>
    <t>Trace</t>
  </si>
  <si>
    <t>Mode</t>
  </si>
  <si>
    <t>Warmup (M instr)</t>
  </si>
  <si>
    <t>Simulated (M instr)</t>
  </si>
  <si>
    <t>IPC</t>
  </si>
  <si>
    <t>STLB MPKI</t>
  </si>
  <si>
    <t>STLB misses for L1D prefetches</t>
  </si>
  <si>
    <t>Page-cross pf requests</t>
  </si>
  <si>
    <t>L1D pf useful</t>
  </si>
  <si>
    <t>L1D pf useless</t>
  </si>
  <si>
    <t>L1D pf late</t>
  </si>
  <si>
    <t>CP1</t>
  </si>
  <si>
    <t>IP-stride</t>
  </si>
  <si>
    <t>Trace1</t>
  </si>
  <si>
    <t>discard</t>
  </si>
  <si>
    <t>permit</t>
  </si>
  <si>
    <t>Trace2</t>
  </si>
  <si>
    <t>Trace3</t>
  </si>
  <si>
    <t>d8</t>
  </si>
  <si>
    <t>IP-stride deg 8</t>
  </si>
  <si>
    <t>d16</t>
  </si>
  <si>
    <t>IP-stride deg 16</t>
  </si>
  <si>
    <t>d32</t>
  </si>
  <si>
    <t>IP-stride deg 32</t>
  </si>
  <si>
    <t>final_d16free</t>
  </si>
  <si>
    <t>IP-stride deg 16, free translation</t>
  </si>
  <si>
    <t>605.mcf_s-1554B</t>
  </si>
  <si>
    <t>605.mcf_s-472B</t>
  </si>
  <si>
    <t>605.mcf_s-994B</t>
  </si>
  <si>
    <t>620.omnetpp_s-874B</t>
  </si>
  <si>
    <t>623.xalancbmk_s-10B</t>
  </si>
  <si>
    <t>649.fotonik3d_s-1176B</t>
  </si>
  <si>
    <t>final_d16</t>
  </si>
  <si>
    <t>s17_d3</t>
  </si>
  <si>
    <t>IP-stride deg 3</t>
  </si>
  <si>
    <t>619.lbm_s-4268B</t>
  </si>
  <si>
    <t>623.xalancbmk_s-700B</t>
  </si>
  <si>
    <t>654.roms_s-842B</t>
  </si>
  <si>
    <t>s17_d16</t>
  </si>
  <si>
    <t>602.gcc_s-734B</t>
  </si>
  <si>
    <t>607.cactuBSSN_s-2421B</t>
  </si>
  <si>
    <t>620.omnetpp_s-141B</t>
  </si>
  <si>
    <t>PA2 traces, IP-stride degree 3, 25M warm-up + 25M simulated</t>
  </si>
  <si>
    <t>Table 1: performance</t>
  </si>
  <si>
    <t>IPC Discard</t>
  </si>
  <si>
    <t>IPC Permit</t>
  </si>
  <si>
    <t>Speedup (Permit / Discard)</t>
  </si>
  <si>
    <t>STLB MPKI Discard</t>
  </si>
  <si>
    <t>STLB MPKI Permit</t>
  </si>
  <si>
    <t>Geomean</t>
  </si>
  <si>
    <t>Table 2: page-cross prefetches (Permit) and change vs Discard</t>
  </si>
  <si>
    <t>Page-cross requests (Permit)</t>
  </si>
  <si>
    <t>STLB misses for prefetches (Permit)</t>
  </si>
  <si>
    <t>% page-cross needing walk</t>
  </si>
  <si>
    <t>Change in useful pf</t>
  </si>
  <si>
    <t>Change in useless pf</t>
  </si>
  <si>
    <t>Change in late pf</t>
  </si>
  <si>
    <t>Observations</t>
  </si>
  <si>
    <t>Permit does not change IPC: geomean speedup 1.00000.</t>
  </si>
  <si>
    <t>STLB MPKI is almost the same, so no visible STLB pollution.</t>
  </si>
  <si>
    <t>Only 0.2% to 0.5% of page-cross requests miss in the STLB.</t>
  </si>
  <si>
    <t>Few page-cross requests bring new lines. Trace3 gets mostly useless ones.</t>
  </si>
  <si>
    <t>IP-stride degree sweep on the PA2 traces, Permit vs Discard, 25M warm-up + 25M simulated</t>
  </si>
  <si>
    <t>Experiment tag</t>
  </si>
  <si>
    <t>Degree</t>
  </si>
  <si>
    <t>STLB misses for prefetches grow with degree on all 3 traces.</t>
  </si>
  <si>
    <t>Speedup falls slightly with degree (geomean 0.99938 at degree 16).</t>
  </si>
  <si>
    <t>STLB pollution appears only in Permit, and grows with degree.</t>
  </si>
  <si>
    <t>The extra distance mostly adds useless page-cross prefetches.</t>
  </si>
  <si>
    <t>Degree 32 gives the same results as degree 16: the L1D prefetch queue has 16 entries.</t>
  </si>
  <si>
    <t>SPEC CPU 2017 screening (DPC-3 traces), Permit vs Discard, 25M warm-up + 25M simulated</t>
  </si>
  <si>
    <t>Table 6: IP-stride degree 3</t>
  </si>
  <si>
    <t>Table 7: IP-stride degree 16</t>
  </si>
  <si>
    <t>mcf-1554B and mcf-472B gain the most, and gain more at degree 16 than at degree 3.</t>
  </si>
  <si>
    <t>lbm gains at degree 3 (+0.18%) but loses at degree 16 (-0.29%): the best distance depends on the workload.</t>
  </si>
  <si>
    <t>xalancbmk-700B: STLB MPKI drops slightly with Permit.</t>
  </si>
  <si>
    <t>roms and cactuBSSN: IP-stride issues almost no prefetches, so Discard and Permit give the same IPC. Dropped.</t>
  </si>
  <si>
    <t>Final set: mcf-1554B, mcf-472B, fotonik3d (crossing helps), mcf-994B, omnetpp-874B, xalancbmk-10B (STLB MPKI 4 to 8).</t>
  </si>
  <si>
    <t>Final set: 6 SPEC CPU 2017 traces, IP-stride degree 16, 50M warm-up + 100M simulated</t>
  </si>
  <si>
    <t>Table 8: Permit vs Discard</t>
  </si>
  <si>
    <t>STLB MPKI change</t>
  </si>
  <si>
    <t>Useless per useful (change)</t>
  </si>
  <si>
    <t>Page-crossing helps mcf-1554B (9.1%), mcf-472B (6.5%) and fotonik3d (0.3%). Geomean 1.025.</t>
  </si>
  <si>
    <t>Where it helps, about half of the new page-cross prefetches are useful.</t>
  </si>
  <si>
    <t>Where it hurts, there are 8 to 17 new useless prefetches per useful one, and the loss is below 0.2%.</t>
  </si>
  <si>
    <t>STLB pollution shows up only where crossing already hurts (up to +3.7% STLB MPKI on omnetpp-874B).</t>
  </si>
  <si>
    <t>mcf-472B gains 6.5% despite 107K page walks for prefetches.</t>
  </si>
  <si>
    <t>Table 9: normal vs free translation for L1D prefetches</t>
  </si>
  <si>
    <t>Speedup Permit/Discard (normal)</t>
  </si>
  <si>
    <t>Speedup Permit/Discard (free translation)</t>
  </si>
  <si>
    <t>Permit IPC: free / normal</t>
  </si>
  <si>
    <t>Discard IPC: free / normal</t>
  </si>
  <si>
    <t>Page-cross requests (normal)</t>
  </si>
  <si>
    <t>Page-cross requests (free)</t>
  </si>
  <si>
    <t>Late pf Permit (normal)</t>
  </si>
  <si>
    <t>Late pf Permit (free)</t>
  </si>
  <si>
    <t>STLB MPKI Permit (normal)</t>
  </si>
  <si>
    <t>STLB MPKI Permit (free)</t>
  </si>
  <si>
    <t>Free translation adds 4.4% to Permit on mcf-1554B (speedup 1.091 to 1.127), with only 189 page walks. The cost is latency.</t>
  </si>
  <si>
    <t>mcf-1554B Permit: 20.7M prefetch requests refused for a full prefetch queue, vs 15.5M with free translation. Queue occupancy is about 50% higher.</t>
  </si>
  <si>
    <t>mcf-472B (107K walks) and omnetpp-874B (STLB pollution): free translation does not change IPC.</t>
  </si>
  <si>
    <t>xalancbmk-10B: free translation lets more useless prefetches through, and Permit loses 0.2%.</t>
  </si>
  <si>
    <t>fotonik3d: the 0.3% gain disappears with free translation. Not explained yet.</t>
  </si>
  <si>
    <t>Table 3: speedup (Permit IPC / Discard IPC)</t>
  </si>
  <si>
    <t>Table 4: STLB misses for L1D prefetches (Permit)</t>
  </si>
  <si>
    <t>Table 5: STLB MPKI increase (Permit minus Discard)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</si>
</sst>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"/>
    <numFmt numFmtId="167" formatCode="0.0%"/>
    <numFmt numFmtId="168" formatCode="0.0"/>
  </numFmts>
  <fonts count="2" x14ac:knownFonts="1">
    <font>
      <sz val="11"/>
      <color theme="1"/>
      <name val="Calibri"/>
      <family val="2"/>
      <charset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167" fontId="1" fillId="0" borderId="0" xfId="0" applyNumberFormat="1" applyFont="1"/>
    <xf numFmtId="168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Speedup of Permit over Discard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'PA2 traces'!$D$4</c:f>
              <c:strCache>
                <c:ptCount val="1"/>
                <c:pt idx="0">
                  <c:v>Speedup (Permit / Discard)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'PA2 traces'!$A$5:$A$7</c:f>
              <c:strCache>
                <c:ptCount val="3"/>
                <c:pt idx="0">
                  <c:v>Trace1</c:v>
                </c:pt>
                <c:pt idx="1">
                  <c:v>Trace2</c:v>
                </c:pt>
                <c:pt idx="2">
                  <c:v>Trace3</c:v>
                </c:pt>
              </c:strCache>
            </c:strRef>
          </c:cat>
          <c:val>
            <c:numRef>
              <c:f>'PA2 traces'!$D$5:$D$7</c:f>
              <c:numCache>
                <c:formatCode>0.00000</c:formatCode>
                <c:ptCount val="3"/>
                <c:pt idx="0">
                  <c:v>0.99995716464198214</c:v>
                </c:pt>
                <c:pt idx="1">
                  <c:v>1.0000159197643874</c:v>
                </c:pt>
                <c:pt idx="2">
                  <c:v>1.0000391786074356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1-4EE7-BCD1-9FF7254B3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33426"/>
        <c:axId val="31141601"/>
      </c:barChart>
      <c:catAx>
        <c:axId val="286334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141601"/>
        <c:crosses val="autoZero"/>
        <c:auto val="1"/>
        <c:lblAlgn val="ctr"/>
        <c:lblOffset val="100"/>
        <c:noMultiLvlLbl val="0"/>
      </c:catAx>
      <c:valAx>
        <c:axId val="31141601"/>
        <c:scaling>
          <c:orientation val="minMax"/>
          <c:max val="1.0009999999999999"/>
          <c:min val="0.999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33426"/>
        <c:crosses val="autoZero"/>
        <c:crossBetween val="between"/>
        <c:majorUnit val="5.0000000000000001E-4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Permit: page-cross requests vs STLB misses they cause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'PA2 traces'!$B$11</c:f>
              <c:strCache>
                <c:ptCount val="1"/>
                <c:pt idx="0">
                  <c:v>Page-cross requests (Permit)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'PA2 traces'!$A$12:$A$14</c:f>
              <c:strCache>
                <c:ptCount val="3"/>
                <c:pt idx="0">
                  <c:v>Trace1</c:v>
                </c:pt>
                <c:pt idx="1">
                  <c:v>Trace2</c:v>
                </c:pt>
                <c:pt idx="2">
                  <c:v>Trace3</c:v>
                </c:pt>
              </c:strCache>
            </c:strRef>
          </c:cat>
          <c:val>
            <c:numRef>
              <c:f>'PA2 traces'!$B$12:$B$14</c:f>
              <c:numCache>
                <c:formatCode>General</c:formatCode>
                <c:ptCount val="3"/>
                <c:pt idx="0">
                  <c:v>33740</c:v>
                </c:pt>
                <c:pt idx="1">
                  <c:v>8390</c:v>
                </c:pt>
                <c:pt idx="2">
                  <c:v>16303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4-4417-969B-14A62AB46336}"/>
            </c:ext>
          </c:extLst>
        </c:ser>
        <c:ser>
          <c:idx val="1"/>
          <c:order val="1"/>
          <c:tx>
            <c:strRef>
              <c:f>'PA2 traces'!$C$11</c:f>
              <c:strCache>
                <c:ptCount val="1"/>
                <c:pt idx="0">
                  <c:v>STLB misses for prefetches (Permit)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'PA2 traces'!$A$12:$A$14</c:f>
              <c:strCache>
                <c:ptCount val="3"/>
                <c:pt idx="0">
                  <c:v>Trace1</c:v>
                </c:pt>
                <c:pt idx="1">
                  <c:v>Trace2</c:v>
                </c:pt>
                <c:pt idx="2">
                  <c:v>Trace3</c:v>
                </c:pt>
              </c:strCache>
            </c:strRef>
          </c:cat>
          <c:val>
            <c:numRef>
              <c:f>'PA2 traces'!$C$12:$C$14</c:f>
              <c:numCache>
                <c:formatCode>General</c:formatCode>
                <c:ptCount val="3"/>
                <c:pt idx="0">
                  <c:v>122</c:v>
                </c:pt>
                <c:pt idx="1">
                  <c:v>18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4-4417-969B-14A62AB4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40489"/>
        <c:axId val="45550927"/>
      </c:barChart>
      <c:catAx>
        <c:axId val="74740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550927"/>
        <c:crosses val="autoZero"/>
        <c:auto val="1"/>
        <c:lblAlgn val="ctr"/>
        <c:lblOffset val="100"/>
        <c:noMultiLvlLbl val="0"/>
      </c:catAx>
      <c:valAx>
        <c:axId val="45550927"/>
        <c:scaling>
          <c:logBase val="10"/>
          <c:orientation val="minMax"/>
          <c:min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404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STLB misses for L1D prefetches vs degree (Permit, 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'Degree sweep'!$C$12</c:f>
              <c:strCache>
                <c:ptCount val="1"/>
                <c:pt idx="0">
                  <c:v>Trace1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'Degree sweep'!$B$13:$B$16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'Degree sweep'!$C$13:$C$16</c:f>
              <c:numCache>
                <c:formatCode>General</c:formatCode>
                <c:ptCount val="4"/>
                <c:pt idx="0">
                  <c:v>122</c:v>
                </c:pt>
                <c:pt idx="1">
                  <c:v>225</c:v>
                </c:pt>
                <c:pt idx="2">
                  <c:v>286</c:v>
                </c:pt>
                <c:pt idx="3">
                  <c:v>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F0-4719-9726-D9AB47C67B77}"/>
            </c:ext>
          </c:extLst>
        </c:ser>
        <c:ser>
          <c:idx val="1"/>
          <c:order val="1"/>
          <c:tx>
            <c:strRef>
              <c:f>'Degree sweep'!$D$12</c:f>
              <c:strCache>
                <c:ptCount val="1"/>
                <c:pt idx="0">
                  <c:v>Trace2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'Degree sweep'!$B$13:$B$16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'Degree sweep'!$D$13:$D$16</c:f>
              <c:numCache>
                <c:formatCode>General</c:formatCode>
                <c:ptCount val="4"/>
                <c:pt idx="0">
                  <c:v>18</c:v>
                </c:pt>
                <c:pt idx="1">
                  <c:v>104</c:v>
                </c:pt>
                <c:pt idx="2">
                  <c:v>202</c:v>
                </c:pt>
                <c:pt idx="3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F0-4719-9726-D9AB47C67B77}"/>
            </c:ext>
          </c:extLst>
        </c:ser>
        <c:ser>
          <c:idx val="2"/>
          <c:order val="2"/>
          <c:tx>
            <c:strRef>
              <c:f>'Degree sweep'!$E$12</c:f>
              <c:strCache>
                <c:ptCount val="1"/>
                <c:pt idx="0">
                  <c:v>Trace3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'Degree sweep'!$B$13:$B$16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'Degree sweep'!$E$13:$E$16</c:f>
              <c:numCache>
                <c:formatCode>General</c:formatCode>
                <c:ptCount val="4"/>
                <c:pt idx="0">
                  <c:v>82</c:v>
                </c:pt>
                <c:pt idx="1">
                  <c:v>216</c:v>
                </c:pt>
                <c:pt idx="2">
                  <c:v>393</c:v>
                </c:pt>
                <c:pt idx="3">
                  <c:v>393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CF0-4719-9726-D9AB47C67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169289"/>
        <c:axId val="67494025"/>
      </c:lineChart>
      <c:catAx>
        <c:axId val="511692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IP-stride degree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94025"/>
        <c:crosses val="autoZero"/>
        <c:auto val="1"/>
        <c:lblAlgn val="ctr"/>
        <c:lblOffset val="100"/>
        <c:noMultiLvlLbl val="0"/>
      </c:catAx>
      <c:valAx>
        <c:axId val="67494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STLB misses for prefetches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692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Geomean speedup of Permit over Discard vs degree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'Degree sweep'!$F$4</c:f>
              <c:strCache>
                <c:ptCount val="1"/>
                <c:pt idx="0">
                  <c:v>Geomean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'Degree sweep'!$B$5:$B$8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'Degree sweep'!$F$5:$F$8</c:f>
              <c:numCache>
                <c:formatCode>0.00000</c:formatCode>
                <c:ptCount val="4"/>
                <c:pt idx="0">
                  <c:v>1.0000040870757405</c:v>
                </c:pt>
                <c:pt idx="1">
                  <c:v>0.99973483451093503</c:v>
                </c:pt>
                <c:pt idx="2">
                  <c:v>0.9993771098091272</c:v>
                </c:pt>
                <c:pt idx="3">
                  <c:v>0.9993771098091272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96-44B7-A446-A8AB7D198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27859"/>
        <c:axId val="63323638"/>
      </c:lineChart>
      <c:catAx>
        <c:axId val="43278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IP-stride degree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23638"/>
        <c:crosses val="autoZero"/>
        <c:auto val="1"/>
        <c:lblAlgn val="ctr"/>
        <c:lblOffset val="100"/>
        <c:noMultiLvlLbl val="0"/>
      </c:catAx>
      <c:valAx>
        <c:axId val="63323638"/>
        <c:scaling>
          <c:orientation val="minMax"/>
          <c:max val="1.0002"/>
          <c:min val="0.999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78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Speedup of Permit over Discard, SPEC CPU 2017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Degree 3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SPEC17!$A$5:$A$16</c:f>
              <c:strCache>
                <c:ptCount val="12"/>
                <c:pt idx="0">
                  <c:v>605.mcf_s-994B</c:v>
                </c:pt>
                <c:pt idx="1">
                  <c:v>623.xalancbmk_s-10B</c:v>
                </c:pt>
                <c:pt idx="2">
                  <c:v>620.omnetpp_s-141B</c:v>
                </c:pt>
                <c:pt idx="3">
                  <c:v>620.omnetpp_s-874B</c:v>
                </c:pt>
                <c:pt idx="4">
                  <c:v>623.xalancbmk_s-700B</c:v>
                </c:pt>
                <c:pt idx="5">
                  <c:v>605.mcf_s-472B</c:v>
                </c:pt>
                <c:pt idx="6">
                  <c:v>605.mcf_s-1554B</c:v>
                </c:pt>
                <c:pt idx="7">
                  <c:v>602.gcc_s-734B</c:v>
                </c:pt>
                <c:pt idx="8">
                  <c:v>649.fotonik3d_s-1176B</c:v>
                </c:pt>
                <c:pt idx="9">
                  <c:v>619.lbm_s-4268B</c:v>
                </c:pt>
                <c:pt idx="10">
                  <c:v>654.roms_s-842B</c:v>
                </c:pt>
                <c:pt idx="11">
                  <c:v>607.cactuBSSN_s-2421B</c:v>
                </c:pt>
              </c:strCache>
            </c:strRef>
          </c:cat>
          <c:val>
            <c:numRef>
              <c:f>SPEC17!$D$5:$D$16</c:f>
              <c:numCache>
                <c:formatCode>0.00000</c:formatCode>
                <c:ptCount val="12"/>
                <c:pt idx="0">
                  <c:v>1.0002479242934159</c:v>
                </c:pt>
                <c:pt idx="1">
                  <c:v>1.0007298657411969</c:v>
                </c:pt>
                <c:pt idx="2">
                  <c:v>1.0000182406858498</c:v>
                </c:pt>
                <c:pt idx="3">
                  <c:v>0.99995169463986155</c:v>
                </c:pt>
                <c:pt idx="4">
                  <c:v>0.99997961816080116</c:v>
                </c:pt>
                <c:pt idx="5">
                  <c:v>1.0122955704378021</c:v>
                </c:pt>
                <c:pt idx="6">
                  <c:v>1.0118420423578907</c:v>
                </c:pt>
                <c:pt idx="7">
                  <c:v>1.0042083657793288</c:v>
                </c:pt>
                <c:pt idx="8">
                  <c:v>1.0033498325083745</c:v>
                </c:pt>
                <c:pt idx="9">
                  <c:v>1.0017694759800906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0-4C73-8940-A5401B2F8ECF}"/>
            </c:ext>
          </c:extLst>
        </c:ser>
        <c:ser>
          <c:idx val="1"/>
          <c:order val="1"/>
          <c:tx>
            <c:v>Degree 16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SPEC17!$A$5:$A$16</c:f>
              <c:strCache>
                <c:ptCount val="12"/>
                <c:pt idx="0">
                  <c:v>605.mcf_s-994B</c:v>
                </c:pt>
                <c:pt idx="1">
                  <c:v>623.xalancbmk_s-10B</c:v>
                </c:pt>
                <c:pt idx="2">
                  <c:v>620.omnetpp_s-141B</c:v>
                </c:pt>
                <c:pt idx="3">
                  <c:v>620.omnetpp_s-874B</c:v>
                </c:pt>
                <c:pt idx="4">
                  <c:v>623.xalancbmk_s-700B</c:v>
                </c:pt>
                <c:pt idx="5">
                  <c:v>605.mcf_s-472B</c:v>
                </c:pt>
                <c:pt idx="6">
                  <c:v>605.mcf_s-1554B</c:v>
                </c:pt>
                <c:pt idx="7">
                  <c:v>602.gcc_s-734B</c:v>
                </c:pt>
                <c:pt idx="8">
                  <c:v>649.fotonik3d_s-1176B</c:v>
                </c:pt>
                <c:pt idx="9">
                  <c:v>619.lbm_s-4268B</c:v>
                </c:pt>
                <c:pt idx="10">
                  <c:v>654.roms_s-842B</c:v>
                </c:pt>
                <c:pt idx="11">
                  <c:v>607.cactuBSSN_s-2421B</c:v>
                </c:pt>
              </c:strCache>
            </c:strRef>
          </c:cat>
          <c:val>
            <c:numRef>
              <c:f>SPEC17!$D$22:$D$33</c:f>
              <c:numCache>
                <c:formatCode>0.00000</c:formatCode>
                <c:ptCount val="12"/>
                <c:pt idx="0">
                  <c:v>0.99879285623919367</c:v>
                </c:pt>
                <c:pt idx="1">
                  <c:v>0.99967886024581798</c:v>
                </c:pt>
                <c:pt idx="2">
                  <c:v>1.0000364785437765</c:v>
                </c:pt>
                <c:pt idx="3">
                  <c:v>0.99946435314055904</c:v>
                </c:pt>
                <c:pt idx="4">
                  <c:v>0.99921981608698318</c:v>
                </c:pt>
                <c:pt idx="5">
                  <c:v>1.0566697284425544</c:v>
                </c:pt>
                <c:pt idx="6">
                  <c:v>1.0944228801711953</c:v>
                </c:pt>
                <c:pt idx="7">
                  <c:v>1.0045603090076893</c:v>
                </c:pt>
                <c:pt idx="8">
                  <c:v>1.0031996160460745</c:v>
                </c:pt>
                <c:pt idx="9">
                  <c:v>0.99710803827857308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0-4C73-8940-A5401B2F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4973"/>
        <c:axId val="73829124"/>
      </c:barChart>
      <c:catAx>
        <c:axId val="207149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29124"/>
        <c:crosses val="autoZero"/>
        <c:auto val="1"/>
        <c:lblAlgn val="ctr"/>
        <c:lblOffset val="100"/>
        <c:noMultiLvlLbl val="0"/>
      </c:catAx>
      <c:valAx>
        <c:axId val="73829124"/>
        <c:scaling>
          <c:orientation val="minMax"/>
          <c:max val="1.1000000000000001"/>
          <c:min val="0.9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7149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Speedup of Permit over Discard (higher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Final!$D$4</c:f>
              <c:strCache>
                <c:ptCount val="1"/>
                <c:pt idx="0">
                  <c:v>Speedup (Permit / Discard)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Final!$A$5:$A$10</c:f>
              <c:strCache>
                <c:ptCount val="6"/>
                <c:pt idx="0">
                  <c:v>605.mcf_s-1554B</c:v>
                </c:pt>
                <c:pt idx="1">
                  <c:v>605.mcf_s-472B</c:v>
                </c:pt>
                <c:pt idx="2">
                  <c:v>649.fotonik3d_s-1176B</c:v>
                </c:pt>
                <c:pt idx="3">
                  <c:v>605.mcf_s-994B</c:v>
                </c:pt>
                <c:pt idx="4">
                  <c:v>620.omnetpp_s-874B</c:v>
                </c:pt>
                <c:pt idx="5">
                  <c:v>623.xalancbmk_s-10B</c:v>
                </c:pt>
              </c:strCache>
            </c:strRef>
          </c:cat>
          <c:val>
            <c:numRef>
              <c:f>Final!$D$5:$D$10</c:f>
              <c:numCache>
                <c:formatCode>0.0000</c:formatCode>
                <c:ptCount val="6"/>
                <c:pt idx="0">
                  <c:v>1.091026748867542</c:v>
                </c:pt>
                <c:pt idx="1">
                  <c:v>1.0650091266736958</c:v>
                </c:pt>
                <c:pt idx="2">
                  <c:v>1.0031892345836999</c:v>
                </c:pt>
                <c:pt idx="3">
                  <c:v>0.99835963733367972</c:v>
                </c:pt>
                <c:pt idx="4">
                  <c:v>0.99914185299381197</c:v>
                </c:pt>
                <c:pt idx="5">
                  <c:v>0.99996789704224753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B-4C0A-9485-B55ECEF1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43645"/>
        <c:axId val="78984214"/>
      </c:barChart>
      <c:catAx>
        <c:axId val="61443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84214"/>
        <c:crosses val="autoZero"/>
        <c:auto val="1"/>
        <c:lblAlgn val="ctr"/>
        <c:lblOffset val="100"/>
        <c:noMultiLvlLbl val="0"/>
      </c:catAx>
      <c:valAx>
        <c:axId val="78984214"/>
        <c:scaling>
          <c:orientation val="minMax"/>
          <c:max val="1.1000000000000001"/>
          <c:min val="0.9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436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STLB MPKI change, Permit vs Discard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Final!$G$4</c:f>
              <c:strCache>
                <c:ptCount val="1"/>
                <c:pt idx="0">
                  <c:v>STLB MPKI change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Final!$A$5:$A$10</c:f>
              <c:strCache>
                <c:ptCount val="6"/>
                <c:pt idx="0">
                  <c:v>605.mcf_s-1554B</c:v>
                </c:pt>
                <c:pt idx="1">
                  <c:v>605.mcf_s-472B</c:v>
                </c:pt>
                <c:pt idx="2">
                  <c:v>649.fotonik3d_s-1176B</c:v>
                </c:pt>
                <c:pt idx="3">
                  <c:v>605.mcf_s-994B</c:v>
                </c:pt>
                <c:pt idx="4">
                  <c:v>620.omnetpp_s-874B</c:v>
                </c:pt>
                <c:pt idx="5">
                  <c:v>623.xalancbmk_s-10B</c:v>
                </c:pt>
              </c:strCache>
            </c:strRef>
          </c:cat>
          <c:val>
            <c:numRef>
              <c:f>Final!$G$5:$G$10</c:f>
              <c:numCache>
                <c:formatCode>0.0%</c:formatCode>
                <c:ptCount val="6"/>
                <c:pt idx="0">
                  <c:v>0</c:v>
                </c:pt>
                <c:pt idx="1">
                  <c:v>-4.9343119718747719E-4</c:v>
                </c:pt>
                <c:pt idx="2">
                  <c:v>0</c:v>
                </c:pt>
                <c:pt idx="3">
                  <c:v>3.8895284782314299E-3</c:v>
                </c:pt>
                <c:pt idx="4">
                  <c:v>3.7260463442784442E-2</c:v>
                </c:pt>
                <c:pt idx="5">
                  <c:v>1.7513244001245987E-3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9-46F5-96F8-16B4CE8A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86343"/>
        <c:axId val="44679932"/>
      </c:barChart>
      <c:catAx>
        <c:axId val="343863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79932"/>
        <c:crosses val="autoZero"/>
        <c:auto val="1"/>
        <c:lblAlgn val="ctr"/>
        <c:lblOffset val="100"/>
        <c:noMultiLvlLbl val="0"/>
      </c:catAx>
      <c:valAx>
        <c:axId val="44679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Change in STLB MPKI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863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Speedup of Permit over Discard: normal vs free translation (higher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Final!$B$39</c:f>
              <c:strCache>
                <c:ptCount val="1"/>
                <c:pt idx="0">
                  <c:v>Speedup Permit/Discard (normal)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Final!$A$40:$A$45</c:f>
              <c:strCache>
                <c:ptCount val="6"/>
                <c:pt idx="0">
                  <c:v>605.mcf_s-1554B</c:v>
                </c:pt>
                <c:pt idx="1">
                  <c:v>605.mcf_s-472B</c:v>
                </c:pt>
                <c:pt idx="2">
                  <c:v>649.fotonik3d_s-1176B</c:v>
                </c:pt>
                <c:pt idx="3">
                  <c:v>605.mcf_s-994B</c:v>
                </c:pt>
                <c:pt idx="4">
                  <c:v>620.omnetpp_s-874B</c:v>
                </c:pt>
                <c:pt idx="5">
                  <c:v>623.xalancbmk_s-10B</c:v>
                </c:pt>
              </c:strCache>
            </c:strRef>
          </c:cat>
          <c:val>
            <c:numRef>
              <c:f>Final!$B$40:$B$45</c:f>
              <c:numCache>
                <c:formatCode>0.0000</c:formatCode>
                <c:ptCount val="6"/>
                <c:pt idx="0">
                  <c:v>1.091026748867542</c:v>
                </c:pt>
                <c:pt idx="1">
                  <c:v>1.0650091266736958</c:v>
                </c:pt>
                <c:pt idx="2">
                  <c:v>1.0031892345836999</c:v>
                </c:pt>
                <c:pt idx="3">
                  <c:v>0.99835963733367972</c:v>
                </c:pt>
                <c:pt idx="4">
                  <c:v>0.99914185299381197</c:v>
                </c:pt>
                <c:pt idx="5">
                  <c:v>0.99996789704224753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5-48C0-B5EC-BA44B6A381F9}"/>
            </c:ext>
          </c:extLst>
        </c:ser>
        <c:ser>
          <c:idx val="1"/>
          <c:order val="1"/>
          <c:tx>
            <c:strRef>
              <c:f>Final!$C$39</c:f>
              <c:strCache>
                <c:ptCount val="1"/>
                <c:pt idx="0">
                  <c:v>Speedup Permit/Discard (free translation)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Final!$A$40:$A$45</c:f>
              <c:strCache>
                <c:ptCount val="6"/>
                <c:pt idx="0">
                  <c:v>605.mcf_s-1554B</c:v>
                </c:pt>
                <c:pt idx="1">
                  <c:v>605.mcf_s-472B</c:v>
                </c:pt>
                <c:pt idx="2">
                  <c:v>649.fotonik3d_s-1176B</c:v>
                </c:pt>
                <c:pt idx="3">
                  <c:v>605.mcf_s-994B</c:v>
                </c:pt>
                <c:pt idx="4">
                  <c:v>620.omnetpp_s-874B</c:v>
                </c:pt>
                <c:pt idx="5">
                  <c:v>623.xalancbmk_s-10B</c:v>
                </c:pt>
              </c:strCache>
            </c:strRef>
          </c:cat>
          <c:val>
            <c:numRef>
              <c:f>Final!$C$40:$C$45</c:f>
              <c:numCache>
                <c:formatCode>0.0000</c:formatCode>
                <c:ptCount val="6"/>
                <c:pt idx="0">
                  <c:v>1.1273377928473893</c:v>
                </c:pt>
                <c:pt idx="1">
                  <c:v>1.0635860219919453</c:v>
                </c:pt>
                <c:pt idx="2">
                  <c:v>0.99998000539854248</c:v>
                </c:pt>
                <c:pt idx="3">
                  <c:v>0.99805943488145499</c:v>
                </c:pt>
                <c:pt idx="4">
                  <c:v>0.99892624279849584</c:v>
                </c:pt>
                <c:pt idx="5">
                  <c:v>0.99808101128565119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5-48C0-B5EC-BA44B6A38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52829"/>
        <c:axId val="94681393"/>
      </c:barChart>
      <c:catAx>
        <c:axId val="15852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81393"/>
        <c:crosses val="autoZero"/>
        <c:auto val="1"/>
        <c:lblAlgn val="ctr"/>
        <c:lblOffset val="100"/>
        <c:noMultiLvlLbl val="0"/>
      </c:catAx>
      <c:valAx>
        <c:axId val="94681393"/>
        <c:scaling>
          <c:orientation val="minMax"/>
          <c:max val="1.1399999999999999"/>
          <c:min val="0.9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528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21</xdr:row>
      <xdr:rowOff>171450</xdr:rowOff>
    </xdr:from>
    <xdr:to>
      <xdr:col>4</xdr:col>
      <xdr:colOff>4725</xdr:colOff>
      <xdr:row>36</xdr:row>
      <xdr:rowOff>13350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161925</xdr:colOff>
      <xdr:row>16</xdr:row>
      <xdr:rowOff>38100</xdr:rowOff>
    </xdr:from>
    <xdr:to>
      <xdr:col>12</xdr:col>
      <xdr:colOff>208695</xdr:colOff>
      <xdr:row>30</xdr:row>
      <xdr:rowOff>70860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17</xdr:col>
      <xdr:colOff>507600</xdr:colOff>
      <xdr:row>16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17</xdr:col>
      <xdr:colOff>507600</xdr:colOff>
      <xdr:row>33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26</xdr:col>
      <xdr:colOff>187200</xdr:colOff>
      <xdr:row>19</xdr:row>
      <xdr:rowOff>1080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206640</xdr:colOff>
      <xdr:row>34</xdr:row>
      <xdr:rowOff>21960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9</xdr:col>
      <xdr:colOff>981720</xdr:colOff>
      <xdr:row>34</xdr:row>
      <xdr:rowOff>21960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6</xdr:col>
      <xdr:colOff>448200</xdr:colOff>
      <xdr:row>69</xdr:row>
      <xdr:rowOff>21960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zoomScaleNormal="100" workbookViewId="0">
      <selection activeCell="B12" sqref="B12"/>
    </sheetView>
  </sheetViews>
  <sheetFormatPr defaultColWidth="8.7109375" defaultRowHeight="15" x14ac:dyDescent="0.25"/>
  <cols>
    <col min="1" max="1" width="12.85546875" bestFit="1" customWidth="1"/>
    <col min="2" max="2" width="30.140625" bestFit="1" customWidth="1"/>
    <col min="3" max="3" width="21.85546875" bestFit="1" customWidth="1"/>
    <col min="4" max="4" width="7.28515625" bestFit="1" customWidth="1"/>
    <col min="5" max="5" width="17" customWidth="1"/>
    <col min="6" max="6" width="18.42578125" bestFit="1" customWidth="1"/>
    <col min="7" max="7" width="9" bestFit="1" customWidth="1"/>
    <col min="8" max="8" width="10.140625" bestFit="1" customWidth="1"/>
    <col min="9" max="9" width="28.5703125" bestFit="1" customWidth="1"/>
    <col min="10" max="10" width="21.140625" bestFit="1" customWidth="1"/>
    <col min="11" max="11" width="12.42578125" bestFit="1" customWidth="1"/>
    <col min="12" max="12" width="13.5703125" bestFit="1" customWidth="1"/>
    <col min="13" max="13" width="10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25</v>
      </c>
      <c r="F2">
        <v>25</v>
      </c>
      <c r="G2">
        <v>0.23345199999999999</v>
      </c>
      <c r="H2">
        <v>2.8550800000000001</v>
      </c>
      <c r="I2">
        <v>2</v>
      </c>
      <c r="J2">
        <v>0</v>
      </c>
      <c r="K2">
        <v>16329</v>
      </c>
      <c r="L2">
        <v>8843</v>
      </c>
      <c r="M2">
        <v>2836</v>
      </c>
    </row>
    <row r="3" spans="1:13" x14ac:dyDescent="0.25">
      <c r="A3" t="s">
        <v>13</v>
      </c>
      <c r="B3" t="s">
        <v>14</v>
      </c>
      <c r="C3" t="s">
        <v>15</v>
      </c>
      <c r="D3" t="s">
        <v>17</v>
      </c>
      <c r="E3">
        <v>25</v>
      </c>
      <c r="F3">
        <v>25</v>
      </c>
      <c r="G3">
        <v>0.23344200000000001</v>
      </c>
      <c r="H3">
        <v>2.85568</v>
      </c>
      <c r="I3">
        <v>122</v>
      </c>
      <c r="J3">
        <v>33740</v>
      </c>
      <c r="K3">
        <v>16839</v>
      </c>
      <c r="L3">
        <v>9207</v>
      </c>
      <c r="M3">
        <v>2969</v>
      </c>
    </row>
    <row r="4" spans="1:13" x14ac:dyDescent="0.25">
      <c r="A4" t="s">
        <v>13</v>
      </c>
      <c r="B4" t="s">
        <v>14</v>
      </c>
      <c r="C4" t="s">
        <v>18</v>
      </c>
      <c r="D4" t="s">
        <v>16</v>
      </c>
      <c r="E4">
        <v>25</v>
      </c>
      <c r="F4">
        <v>25</v>
      </c>
      <c r="G4">
        <v>0.25125999999999998</v>
      </c>
      <c r="H4">
        <v>2.7263600000000001</v>
      </c>
      <c r="I4">
        <v>0</v>
      </c>
      <c r="J4">
        <v>0</v>
      </c>
      <c r="K4">
        <v>4407</v>
      </c>
      <c r="L4">
        <v>6344</v>
      </c>
      <c r="M4">
        <v>276</v>
      </c>
    </row>
    <row r="5" spans="1:13" x14ac:dyDescent="0.25">
      <c r="A5" t="s">
        <v>13</v>
      </c>
      <c r="B5" t="s">
        <v>14</v>
      </c>
      <c r="C5" t="s">
        <v>18</v>
      </c>
      <c r="D5" t="s">
        <v>17</v>
      </c>
      <c r="E5">
        <v>25</v>
      </c>
      <c r="F5">
        <v>25</v>
      </c>
      <c r="G5">
        <v>0.25126399999999999</v>
      </c>
      <c r="H5">
        <v>2.7266400000000002</v>
      </c>
      <c r="I5">
        <v>18</v>
      </c>
      <c r="J5">
        <v>8390</v>
      </c>
      <c r="K5">
        <v>4477</v>
      </c>
      <c r="L5">
        <v>6401</v>
      </c>
      <c r="M5">
        <v>300</v>
      </c>
    </row>
    <row r="6" spans="1:13" x14ac:dyDescent="0.25">
      <c r="A6" t="s">
        <v>13</v>
      </c>
      <c r="B6" t="s">
        <v>14</v>
      </c>
      <c r="C6" t="s">
        <v>19</v>
      </c>
      <c r="D6" t="s">
        <v>16</v>
      </c>
      <c r="E6">
        <v>25</v>
      </c>
      <c r="F6">
        <v>25</v>
      </c>
      <c r="G6">
        <v>0.38286199999999998</v>
      </c>
      <c r="H6">
        <v>0.93411999999999995</v>
      </c>
      <c r="I6">
        <v>0</v>
      </c>
      <c r="J6">
        <v>0</v>
      </c>
      <c r="K6">
        <v>2729</v>
      </c>
      <c r="L6">
        <v>10627</v>
      </c>
      <c r="M6">
        <v>3058</v>
      </c>
    </row>
    <row r="7" spans="1:13" x14ac:dyDescent="0.25">
      <c r="A7" t="s">
        <v>13</v>
      </c>
      <c r="B7" t="s">
        <v>14</v>
      </c>
      <c r="C7" t="s">
        <v>19</v>
      </c>
      <c r="D7" t="s">
        <v>17</v>
      </c>
      <c r="E7">
        <v>25</v>
      </c>
      <c r="F7">
        <v>25</v>
      </c>
      <c r="G7">
        <v>0.38287700000000002</v>
      </c>
      <c r="H7">
        <v>0.93700000000000006</v>
      </c>
      <c r="I7">
        <v>82</v>
      </c>
      <c r="J7">
        <v>16303</v>
      </c>
      <c r="K7">
        <v>2767</v>
      </c>
      <c r="L7">
        <v>10950</v>
      </c>
      <c r="M7">
        <v>3147</v>
      </c>
    </row>
    <row r="8" spans="1:13" x14ac:dyDescent="0.25">
      <c r="A8" t="s">
        <v>20</v>
      </c>
      <c r="B8" t="s">
        <v>21</v>
      </c>
      <c r="C8" t="s">
        <v>15</v>
      </c>
      <c r="D8" t="s">
        <v>16</v>
      </c>
      <c r="E8">
        <v>25</v>
      </c>
      <c r="F8">
        <v>25</v>
      </c>
      <c r="G8">
        <v>0.233154</v>
      </c>
      <c r="H8">
        <v>2.8550399999999998</v>
      </c>
      <c r="I8">
        <v>2</v>
      </c>
      <c r="J8">
        <v>0</v>
      </c>
      <c r="K8">
        <v>23595</v>
      </c>
      <c r="L8">
        <v>22985</v>
      </c>
      <c r="M8">
        <v>2013</v>
      </c>
    </row>
    <row r="9" spans="1:13" x14ac:dyDescent="0.25">
      <c r="A9" t="s">
        <v>20</v>
      </c>
      <c r="B9" t="s">
        <v>21</v>
      </c>
      <c r="C9" t="s">
        <v>15</v>
      </c>
      <c r="D9" t="s">
        <v>17</v>
      </c>
      <c r="E9">
        <v>25</v>
      </c>
      <c r="F9">
        <v>25</v>
      </c>
      <c r="G9">
        <v>0.233124</v>
      </c>
      <c r="H9">
        <v>2.8564400000000001</v>
      </c>
      <c r="I9">
        <v>225</v>
      </c>
      <c r="J9">
        <v>167824</v>
      </c>
      <c r="K9">
        <v>24995</v>
      </c>
      <c r="L9">
        <v>25466</v>
      </c>
      <c r="M9">
        <v>2037</v>
      </c>
    </row>
    <row r="10" spans="1:13" x14ac:dyDescent="0.25">
      <c r="A10" t="s">
        <v>20</v>
      </c>
      <c r="B10" t="s">
        <v>21</v>
      </c>
      <c r="C10" t="s">
        <v>18</v>
      </c>
      <c r="D10" t="s">
        <v>16</v>
      </c>
      <c r="E10">
        <v>25</v>
      </c>
      <c r="F10">
        <v>25</v>
      </c>
      <c r="G10">
        <v>0.25114999999999998</v>
      </c>
      <c r="H10">
        <v>2.7263999999999999</v>
      </c>
      <c r="I10">
        <v>0</v>
      </c>
      <c r="J10">
        <v>0</v>
      </c>
      <c r="K10">
        <v>7054</v>
      </c>
      <c r="L10">
        <v>17321</v>
      </c>
      <c r="M10">
        <v>166</v>
      </c>
    </row>
    <row r="11" spans="1:13" x14ac:dyDescent="0.25">
      <c r="A11" t="s">
        <v>20</v>
      </c>
      <c r="B11" t="s">
        <v>21</v>
      </c>
      <c r="C11" t="s">
        <v>18</v>
      </c>
      <c r="D11" t="s">
        <v>17</v>
      </c>
      <c r="E11">
        <v>25</v>
      </c>
      <c r="F11">
        <v>25</v>
      </c>
      <c r="G11">
        <v>0.25101600000000002</v>
      </c>
      <c r="H11">
        <v>2.7353200000000002</v>
      </c>
      <c r="I11">
        <v>104</v>
      </c>
      <c r="J11">
        <v>43103</v>
      </c>
      <c r="K11">
        <v>7678</v>
      </c>
      <c r="L11">
        <v>19425</v>
      </c>
      <c r="M11">
        <v>186</v>
      </c>
    </row>
    <row r="12" spans="1:13" x14ac:dyDescent="0.25">
      <c r="A12" t="s">
        <v>20</v>
      </c>
      <c r="B12" t="s">
        <v>21</v>
      </c>
      <c r="C12" t="s">
        <v>19</v>
      </c>
      <c r="D12" t="s">
        <v>16</v>
      </c>
      <c r="E12">
        <v>25</v>
      </c>
      <c r="F12">
        <v>25</v>
      </c>
      <c r="G12">
        <v>0.38280700000000001</v>
      </c>
      <c r="H12">
        <v>0.93411999999999995</v>
      </c>
      <c r="I12">
        <v>0</v>
      </c>
      <c r="J12">
        <v>0</v>
      </c>
      <c r="K12">
        <v>5129</v>
      </c>
      <c r="L12">
        <v>27488</v>
      </c>
      <c r="M12">
        <v>2235</v>
      </c>
    </row>
    <row r="13" spans="1:13" x14ac:dyDescent="0.25">
      <c r="A13" t="s">
        <v>20</v>
      </c>
      <c r="B13" t="s">
        <v>21</v>
      </c>
      <c r="C13" t="s">
        <v>19</v>
      </c>
      <c r="D13" t="s">
        <v>17</v>
      </c>
      <c r="E13">
        <v>25</v>
      </c>
      <c r="F13">
        <v>25</v>
      </c>
      <c r="G13">
        <v>0.38275599999999999</v>
      </c>
      <c r="H13">
        <v>0.94179999999999997</v>
      </c>
      <c r="I13">
        <v>216</v>
      </c>
      <c r="J13">
        <v>85007</v>
      </c>
      <c r="K13">
        <v>5249</v>
      </c>
      <c r="L13">
        <v>29240</v>
      </c>
      <c r="M13">
        <v>2330</v>
      </c>
    </row>
    <row r="14" spans="1:13" x14ac:dyDescent="0.25">
      <c r="A14" t="s">
        <v>22</v>
      </c>
      <c r="B14" t="s">
        <v>23</v>
      </c>
      <c r="C14" t="s">
        <v>15</v>
      </c>
      <c r="D14" t="s">
        <v>16</v>
      </c>
      <c r="E14">
        <v>25</v>
      </c>
      <c r="F14">
        <v>25</v>
      </c>
      <c r="G14">
        <v>0.23246900000000001</v>
      </c>
      <c r="H14">
        <v>2.855</v>
      </c>
      <c r="I14">
        <v>2</v>
      </c>
      <c r="J14">
        <v>0</v>
      </c>
      <c r="K14">
        <v>27514</v>
      </c>
      <c r="L14">
        <v>41069</v>
      </c>
      <c r="M14">
        <v>1393</v>
      </c>
    </row>
    <row r="15" spans="1:13" x14ac:dyDescent="0.25">
      <c r="A15" t="s">
        <v>22</v>
      </c>
      <c r="B15" t="s">
        <v>23</v>
      </c>
      <c r="C15" t="s">
        <v>15</v>
      </c>
      <c r="D15" t="s">
        <v>17</v>
      </c>
      <c r="E15">
        <v>25</v>
      </c>
      <c r="F15">
        <v>25</v>
      </c>
      <c r="G15">
        <v>0.23233200000000001</v>
      </c>
      <c r="H15">
        <v>2.8586399999999998</v>
      </c>
      <c r="I15">
        <v>286</v>
      </c>
      <c r="J15">
        <v>388711</v>
      </c>
      <c r="K15">
        <v>29796</v>
      </c>
      <c r="L15">
        <v>46709</v>
      </c>
      <c r="M15">
        <v>1257</v>
      </c>
    </row>
    <row r="16" spans="1:13" x14ac:dyDescent="0.25">
      <c r="A16" t="s">
        <v>22</v>
      </c>
      <c r="B16" t="s">
        <v>23</v>
      </c>
      <c r="C16" t="s">
        <v>18</v>
      </c>
      <c r="D16" t="s">
        <v>16</v>
      </c>
      <c r="E16">
        <v>25</v>
      </c>
      <c r="F16">
        <v>25</v>
      </c>
      <c r="G16">
        <v>0.251361</v>
      </c>
      <c r="H16">
        <v>2.7263999999999999</v>
      </c>
      <c r="I16">
        <v>0</v>
      </c>
      <c r="J16">
        <v>0</v>
      </c>
      <c r="K16">
        <v>10757</v>
      </c>
      <c r="L16">
        <v>27428</v>
      </c>
      <c r="M16">
        <v>191</v>
      </c>
    </row>
    <row r="17" spans="1:13" x14ac:dyDescent="0.25">
      <c r="A17" t="s">
        <v>22</v>
      </c>
      <c r="B17" t="s">
        <v>23</v>
      </c>
      <c r="C17" t="s">
        <v>18</v>
      </c>
      <c r="D17" t="s">
        <v>17</v>
      </c>
      <c r="E17">
        <v>25</v>
      </c>
      <c r="F17">
        <v>25</v>
      </c>
      <c r="G17">
        <v>0.25122299999999997</v>
      </c>
      <c r="H17">
        <v>2.7368800000000002</v>
      </c>
      <c r="I17">
        <v>202</v>
      </c>
      <c r="J17">
        <v>106335</v>
      </c>
      <c r="K17">
        <v>13046</v>
      </c>
      <c r="L17">
        <v>34284</v>
      </c>
      <c r="M17">
        <v>206</v>
      </c>
    </row>
    <row r="18" spans="1:13" x14ac:dyDescent="0.25">
      <c r="A18" t="s">
        <v>22</v>
      </c>
      <c r="B18" t="s">
        <v>23</v>
      </c>
      <c r="C18" t="s">
        <v>19</v>
      </c>
      <c r="D18" t="s">
        <v>16</v>
      </c>
      <c r="E18">
        <v>25</v>
      </c>
      <c r="F18">
        <v>25</v>
      </c>
      <c r="G18">
        <v>0.38202199999999997</v>
      </c>
      <c r="H18">
        <v>0.93411999999999995</v>
      </c>
      <c r="I18">
        <v>0</v>
      </c>
      <c r="J18">
        <v>0</v>
      </c>
      <c r="K18">
        <v>5348</v>
      </c>
      <c r="L18">
        <v>46455</v>
      </c>
      <c r="M18">
        <v>1930</v>
      </c>
    </row>
    <row r="19" spans="1:13" x14ac:dyDescent="0.25">
      <c r="A19" t="s">
        <v>22</v>
      </c>
      <c r="B19" t="s">
        <v>23</v>
      </c>
      <c r="C19" t="s">
        <v>19</v>
      </c>
      <c r="D19" t="s">
        <v>17</v>
      </c>
      <c r="E19">
        <v>25</v>
      </c>
      <c r="F19">
        <v>25</v>
      </c>
      <c r="G19">
        <v>0.381743</v>
      </c>
      <c r="H19">
        <v>0.94855999999999996</v>
      </c>
      <c r="I19">
        <v>393</v>
      </c>
      <c r="J19">
        <v>199996</v>
      </c>
      <c r="K19">
        <v>5326</v>
      </c>
      <c r="L19">
        <v>51787</v>
      </c>
      <c r="M19">
        <v>1884</v>
      </c>
    </row>
    <row r="20" spans="1:13" x14ac:dyDescent="0.25">
      <c r="A20" t="s">
        <v>24</v>
      </c>
      <c r="B20" t="s">
        <v>25</v>
      </c>
      <c r="C20" t="s">
        <v>15</v>
      </c>
      <c r="D20" t="s">
        <v>16</v>
      </c>
      <c r="E20">
        <v>25</v>
      </c>
      <c r="F20">
        <v>25</v>
      </c>
      <c r="G20">
        <v>0.23246900000000001</v>
      </c>
      <c r="H20">
        <v>2.855</v>
      </c>
      <c r="I20">
        <v>2</v>
      </c>
      <c r="J20">
        <v>0</v>
      </c>
      <c r="K20">
        <v>27516</v>
      </c>
      <c r="L20">
        <v>41070</v>
      </c>
      <c r="M20">
        <v>1393</v>
      </c>
    </row>
    <row r="21" spans="1:13" x14ac:dyDescent="0.25">
      <c r="A21" t="s">
        <v>24</v>
      </c>
      <c r="B21" t="s">
        <v>25</v>
      </c>
      <c r="C21" t="s">
        <v>15</v>
      </c>
      <c r="D21" t="s">
        <v>17</v>
      </c>
      <c r="E21">
        <v>25</v>
      </c>
      <c r="F21">
        <v>25</v>
      </c>
      <c r="G21">
        <v>0.23233200000000001</v>
      </c>
      <c r="H21">
        <v>2.8586399999999998</v>
      </c>
      <c r="I21">
        <v>286</v>
      </c>
      <c r="J21">
        <v>388614</v>
      </c>
      <c r="K21">
        <v>29798</v>
      </c>
      <c r="L21">
        <v>46711</v>
      </c>
      <c r="M21">
        <v>1257</v>
      </c>
    </row>
    <row r="22" spans="1:13" x14ac:dyDescent="0.25">
      <c r="A22" t="s">
        <v>24</v>
      </c>
      <c r="B22" t="s">
        <v>25</v>
      </c>
      <c r="C22" t="s">
        <v>18</v>
      </c>
      <c r="D22" t="s">
        <v>16</v>
      </c>
      <c r="E22">
        <v>25</v>
      </c>
      <c r="F22">
        <v>25</v>
      </c>
      <c r="G22">
        <v>0.251361</v>
      </c>
      <c r="H22">
        <v>2.7263999999999999</v>
      </c>
      <c r="I22">
        <v>0</v>
      </c>
      <c r="J22">
        <v>0</v>
      </c>
      <c r="K22">
        <v>10757</v>
      </c>
      <c r="L22">
        <v>27427</v>
      </c>
      <c r="M22">
        <v>191</v>
      </c>
    </row>
    <row r="23" spans="1:13" x14ac:dyDescent="0.25">
      <c r="A23" t="s">
        <v>24</v>
      </c>
      <c r="B23" t="s">
        <v>25</v>
      </c>
      <c r="C23" t="s">
        <v>18</v>
      </c>
      <c r="D23" t="s">
        <v>17</v>
      </c>
      <c r="E23">
        <v>25</v>
      </c>
      <c r="F23">
        <v>25</v>
      </c>
      <c r="G23">
        <v>0.25122299999999997</v>
      </c>
      <c r="H23">
        <v>2.7368800000000002</v>
      </c>
      <c r="I23">
        <v>202</v>
      </c>
      <c r="J23">
        <v>106319</v>
      </c>
      <c r="K23">
        <v>13046</v>
      </c>
      <c r="L23">
        <v>34283</v>
      </c>
      <c r="M23">
        <v>206</v>
      </c>
    </row>
    <row r="24" spans="1:13" x14ac:dyDescent="0.25">
      <c r="A24" t="s">
        <v>24</v>
      </c>
      <c r="B24" t="s">
        <v>25</v>
      </c>
      <c r="C24" t="s">
        <v>19</v>
      </c>
      <c r="D24" t="s">
        <v>16</v>
      </c>
      <c r="E24">
        <v>25</v>
      </c>
      <c r="F24">
        <v>25</v>
      </c>
      <c r="G24">
        <v>0.38202199999999997</v>
      </c>
      <c r="H24">
        <v>0.93411999999999995</v>
      </c>
      <c r="I24">
        <v>0</v>
      </c>
      <c r="J24">
        <v>0</v>
      </c>
      <c r="K24">
        <v>5349</v>
      </c>
      <c r="L24">
        <v>46456</v>
      </c>
      <c r="M24">
        <v>1930</v>
      </c>
    </row>
    <row r="25" spans="1:13" x14ac:dyDescent="0.25">
      <c r="A25" t="s">
        <v>24</v>
      </c>
      <c r="B25" t="s">
        <v>25</v>
      </c>
      <c r="C25" t="s">
        <v>19</v>
      </c>
      <c r="D25" t="s">
        <v>17</v>
      </c>
      <c r="E25">
        <v>25</v>
      </c>
      <c r="F25">
        <v>25</v>
      </c>
      <c r="G25">
        <v>0.381743</v>
      </c>
      <c r="H25">
        <v>0.94855999999999996</v>
      </c>
      <c r="I25">
        <v>393</v>
      </c>
      <c r="J25">
        <v>199997</v>
      </c>
      <c r="K25">
        <v>5327</v>
      </c>
      <c r="L25">
        <v>51790</v>
      </c>
      <c r="M25">
        <v>1884</v>
      </c>
    </row>
    <row r="26" spans="1:13" x14ac:dyDescent="0.25">
      <c r="A26" t="s">
        <v>26</v>
      </c>
      <c r="B26" t="s">
        <v>27</v>
      </c>
      <c r="C26" t="s">
        <v>28</v>
      </c>
      <c r="D26" t="s">
        <v>16</v>
      </c>
      <c r="E26">
        <v>50</v>
      </c>
      <c r="F26">
        <v>100</v>
      </c>
      <c r="G26">
        <v>0.260716</v>
      </c>
      <c r="H26">
        <v>8.0379999999999993E-2</v>
      </c>
      <c r="I26">
        <v>0</v>
      </c>
      <c r="J26">
        <v>0</v>
      </c>
      <c r="K26">
        <v>6718426</v>
      </c>
      <c r="L26">
        <v>3448058</v>
      </c>
      <c r="M26">
        <v>185271</v>
      </c>
    </row>
    <row r="27" spans="1:13" x14ac:dyDescent="0.25">
      <c r="A27" t="s">
        <v>26</v>
      </c>
      <c r="B27" t="s">
        <v>27</v>
      </c>
      <c r="C27" t="s">
        <v>28</v>
      </c>
      <c r="D27" t="s">
        <v>17</v>
      </c>
      <c r="E27">
        <v>50</v>
      </c>
      <c r="F27">
        <v>100</v>
      </c>
      <c r="G27">
        <v>0.29391499999999998</v>
      </c>
      <c r="H27">
        <v>8.0369999999999997E-2</v>
      </c>
      <c r="I27">
        <v>0</v>
      </c>
      <c r="J27">
        <v>17725177</v>
      </c>
      <c r="K27">
        <v>7409078</v>
      </c>
      <c r="L27">
        <v>4056508</v>
      </c>
      <c r="M27">
        <v>161556</v>
      </c>
    </row>
    <row r="28" spans="1:13" x14ac:dyDescent="0.25">
      <c r="A28" t="s">
        <v>26</v>
      </c>
      <c r="B28" t="s">
        <v>27</v>
      </c>
      <c r="C28" t="s">
        <v>29</v>
      </c>
      <c r="D28" t="s">
        <v>16</v>
      </c>
      <c r="E28">
        <v>50</v>
      </c>
      <c r="F28">
        <v>100</v>
      </c>
      <c r="G28">
        <v>0.35358400000000001</v>
      </c>
      <c r="H28">
        <v>1.2981799999999999</v>
      </c>
      <c r="I28">
        <v>0</v>
      </c>
      <c r="J28">
        <v>0</v>
      </c>
      <c r="K28">
        <v>1950047</v>
      </c>
      <c r="L28">
        <v>1009291</v>
      </c>
      <c r="M28">
        <v>51711</v>
      </c>
    </row>
    <row r="29" spans="1:13" x14ac:dyDescent="0.25">
      <c r="A29" t="s">
        <v>26</v>
      </c>
      <c r="B29" t="s">
        <v>27</v>
      </c>
      <c r="C29" t="s">
        <v>29</v>
      </c>
      <c r="D29" t="s">
        <v>17</v>
      </c>
      <c r="E29">
        <v>50</v>
      </c>
      <c r="F29">
        <v>100</v>
      </c>
      <c r="G29">
        <v>0.37606699999999998</v>
      </c>
      <c r="H29">
        <v>1.2981799999999999</v>
      </c>
      <c r="I29">
        <v>0</v>
      </c>
      <c r="J29">
        <v>5237711</v>
      </c>
      <c r="K29">
        <v>2211714</v>
      </c>
      <c r="L29">
        <v>1229818</v>
      </c>
      <c r="M29">
        <v>45524</v>
      </c>
    </row>
    <row r="30" spans="1:13" x14ac:dyDescent="0.25">
      <c r="A30" t="s">
        <v>26</v>
      </c>
      <c r="B30" t="s">
        <v>27</v>
      </c>
      <c r="C30" t="s">
        <v>30</v>
      </c>
      <c r="D30" t="s">
        <v>16</v>
      </c>
      <c r="E30">
        <v>50</v>
      </c>
      <c r="F30">
        <v>100</v>
      </c>
      <c r="G30">
        <v>0.24632000000000001</v>
      </c>
      <c r="H30">
        <v>8.0764300000000002</v>
      </c>
      <c r="I30">
        <v>0</v>
      </c>
      <c r="J30">
        <v>0</v>
      </c>
      <c r="K30">
        <v>210421</v>
      </c>
      <c r="L30">
        <v>20361</v>
      </c>
      <c r="M30">
        <v>93</v>
      </c>
    </row>
    <row r="31" spans="1:13" x14ac:dyDescent="0.25">
      <c r="A31" t="s">
        <v>26</v>
      </c>
      <c r="B31" t="s">
        <v>27</v>
      </c>
      <c r="C31" t="s">
        <v>30</v>
      </c>
      <c r="D31" t="s">
        <v>17</v>
      </c>
      <c r="E31">
        <v>50</v>
      </c>
      <c r="F31">
        <v>100</v>
      </c>
      <c r="G31">
        <v>0.245842</v>
      </c>
      <c r="H31">
        <v>8.0764300000000002</v>
      </c>
      <c r="I31">
        <v>0</v>
      </c>
      <c r="J31">
        <v>975989</v>
      </c>
      <c r="K31">
        <v>214876</v>
      </c>
      <c r="L31">
        <v>57730</v>
      </c>
      <c r="M31">
        <v>63</v>
      </c>
    </row>
    <row r="32" spans="1:13" x14ac:dyDescent="0.25">
      <c r="A32" t="s">
        <v>26</v>
      </c>
      <c r="B32" t="s">
        <v>27</v>
      </c>
      <c r="C32" t="s">
        <v>31</v>
      </c>
      <c r="D32" t="s">
        <v>16</v>
      </c>
      <c r="E32">
        <v>50</v>
      </c>
      <c r="F32">
        <v>100</v>
      </c>
      <c r="G32">
        <v>0.23189599999999999</v>
      </c>
      <c r="H32">
        <v>4.2802100000000003</v>
      </c>
      <c r="I32">
        <v>0</v>
      </c>
      <c r="J32">
        <v>0</v>
      </c>
      <c r="K32">
        <v>4983</v>
      </c>
      <c r="L32">
        <v>26060</v>
      </c>
      <c r="M32">
        <v>51</v>
      </c>
    </row>
    <row r="33" spans="1:13" x14ac:dyDescent="0.25">
      <c r="A33" t="s">
        <v>26</v>
      </c>
      <c r="B33" t="s">
        <v>27</v>
      </c>
      <c r="C33" t="s">
        <v>31</v>
      </c>
      <c r="D33" t="s">
        <v>17</v>
      </c>
      <c r="E33">
        <v>50</v>
      </c>
      <c r="F33">
        <v>100</v>
      </c>
      <c r="G33">
        <v>0.23164699999999999</v>
      </c>
      <c r="H33">
        <v>4.2802100000000003</v>
      </c>
      <c r="I33">
        <v>0</v>
      </c>
      <c r="J33">
        <v>107925</v>
      </c>
      <c r="K33">
        <v>7561</v>
      </c>
      <c r="L33">
        <v>71182</v>
      </c>
      <c r="M33">
        <v>106</v>
      </c>
    </row>
    <row r="34" spans="1:13" x14ac:dyDescent="0.25">
      <c r="A34" t="s">
        <v>26</v>
      </c>
      <c r="B34" t="s">
        <v>27</v>
      </c>
      <c r="C34" t="s">
        <v>32</v>
      </c>
      <c r="D34" t="s">
        <v>16</v>
      </c>
      <c r="E34">
        <v>50</v>
      </c>
      <c r="F34">
        <v>100</v>
      </c>
      <c r="G34">
        <v>0.28035599999999999</v>
      </c>
      <c r="H34">
        <v>4.8135399999999997</v>
      </c>
      <c r="I34">
        <v>0</v>
      </c>
      <c r="J34">
        <v>0</v>
      </c>
      <c r="K34">
        <v>35162</v>
      </c>
      <c r="L34">
        <v>82064</v>
      </c>
      <c r="M34">
        <v>676</v>
      </c>
    </row>
    <row r="35" spans="1:13" x14ac:dyDescent="0.25">
      <c r="A35" t="s">
        <v>26</v>
      </c>
      <c r="B35" t="s">
        <v>27</v>
      </c>
      <c r="C35" t="s">
        <v>32</v>
      </c>
      <c r="D35" t="s">
        <v>17</v>
      </c>
      <c r="E35">
        <v>50</v>
      </c>
      <c r="F35">
        <v>100</v>
      </c>
      <c r="G35">
        <v>0.27981800000000001</v>
      </c>
      <c r="H35">
        <v>4.8135399999999997</v>
      </c>
      <c r="I35">
        <v>0</v>
      </c>
      <c r="J35">
        <v>475887</v>
      </c>
      <c r="K35">
        <v>49756</v>
      </c>
      <c r="L35">
        <v>201446</v>
      </c>
      <c r="M35">
        <v>926</v>
      </c>
    </row>
    <row r="36" spans="1:13" x14ac:dyDescent="0.25">
      <c r="A36" t="s">
        <v>26</v>
      </c>
      <c r="B36" t="s">
        <v>27</v>
      </c>
      <c r="C36" t="s">
        <v>33</v>
      </c>
      <c r="D36" t="s">
        <v>16</v>
      </c>
      <c r="E36">
        <v>50</v>
      </c>
      <c r="F36">
        <v>100</v>
      </c>
      <c r="G36">
        <v>1.00027</v>
      </c>
      <c r="H36">
        <v>0.13718</v>
      </c>
      <c r="I36">
        <v>0</v>
      </c>
      <c r="J36">
        <v>0</v>
      </c>
      <c r="K36">
        <v>1280026</v>
      </c>
      <c r="L36">
        <v>9790</v>
      </c>
      <c r="M36">
        <v>8740</v>
      </c>
    </row>
    <row r="37" spans="1:13" x14ac:dyDescent="0.25">
      <c r="A37" t="s">
        <v>26</v>
      </c>
      <c r="B37" t="s">
        <v>27</v>
      </c>
      <c r="C37" t="s">
        <v>33</v>
      </c>
      <c r="D37" t="s">
        <v>17</v>
      </c>
      <c r="E37">
        <v>50</v>
      </c>
      <c r="F37">
        <v>100</v>
      </c>
      <c r="G37">
        <v>1.0002500000000001</v>
      </c>
      <c r="H37">
        <v>0.13718</v>
      </c>
      <c r="I37">
        <v>0</v>
      </c>
      <c r="J37">
        <v>5946826</v>
      </c>
      <c r="K37">
        <v>1286942</v>
      </c>
      <c r="L37">
        <v>13974</v>
      </c>
      <c r="M37">
        <v>8796</v>
      </c>
    </row>
    <row r="38" spans="1:13" x14ac:dyDescent="0.25">
      <c r="A38" t="s">
        <v>34</v>
      </c>
      <c r="B38" t="s">
        <v>23</v>
      </c>
      <c r="C38" t="s">
        <v>28</v>
      </c>
      <c r="D38" t="s">
        <v>16</v>
      </c>
      <c r="E38">
        <v>50</v>
      </c>
      <c r="F38">
        <v>100</v>
      </c>
      <c r="G38">
        <v>0.25806699999999999</v>
      </c>
      <c r="H38">
        <v>8.0360000000000001E-2</v>
      </c>
      <c r="I38">
        <v>0</v>
      </c>
      <c r="J38">
        <v>0</v>
      </c>
      <c r="K38">
        <v>6495795</v>
      </c>
      <c r="L38">
        <v>3364887</v>
      </c>
      <c r="M38">
        <v>236058</v>
      </c>
    </row>
    <row r="39" spans="1:13" x14ac:dyDescent="0.25">
      <c r="A39" t="s">
        <v>34</v>
      </c>
      <c r="B39" t="s">
        <v>23</v>
      </c>
      <c r="C39" t="s">
        <v>28</v>
      </c>
      <c r="D39" t="s">
        <v>17</v>
      </c>
      <c r="E39">
        <v>50</v>
      </c>
      <c r="F39">
        <v>100</v>
      </c>
      <c r="G39">
        <v>0.28155799999999997</v>
      </c>
      <c r="H39">
        <v>8.0360000000000001E-2</v>
      </c>
      <c r="I39">
        <v>189</v>
      </c>
      <c r="J39">
        <v>14876057</v>
      </c>
      <c r="K39">
        <v>7037787</v>
      </c>
      <c r="L39">
        <v>3894389</v>
      </c>
      <c r="M39">
        <v>251609</v>
      </c>
    </row>
    <row r="40" spans="1:13" x14ac:dyDescent="0.25">
      <c r="A40" t="s">
        <v>34</v>
      </c>
      <c r="B40" t="s">
        <v>23</v>
      </c>
      <c r="C40" t="s">
        <v>29</v>
      </c>
      <c r="D40" t="s">
        <v>16</v>
      </c>
      <c r="E40">
        <v>50</v>
      </c>
      <c r="F40">
        <v>100</v>
      </c>
      <c r="G40">
        <v>0.35281200000000001</v>
      </c>
      <c r="H40">
        <v>1.29704</v>
      </c>
      <c r="I40">
        <v>0</v>
      </c>
      <c r="J40">
        <v>0</v>
      </c>
      <c r="K40">
        <v>1893141</v>
      </c>
      <c r="L40">
        <v>990668</v>
      </c>
      <c r="M40">
        <v>60845</v>
      </c>
    </row>
    <row r="41" spans="1:13" x14ac:dyDescent="0.25">
      <c r="A41" t="s">
        <v>34</v>
      </c>
      <c r="B41" t="s">
        <v>23</v>
      </c>
      <c r="C41" t="s">
        <v>29</v>
      </c>
      <c r="D41" t="s">
        <v>17</v>
      </c>
      <c r="E41">
        <v>50</v>
      </c>
      <c r="F41">
        <v>100</v>
      </c>
      <c r="G41">
        <v>0.37574800000000003</v>
      </c>
      <c r="H41">
        <v>1.2964</v>
      </c>
      <c r="I41">
        <v>107430</v>
      </c>
      <c r="J41">
        <v>4398148</v>
      </c>
      <c r="K41">
        <v>2074477</v>
      </c>
      <c r="L41">
        <v>1158737</v>
      </c>
      <c r="M41">
        <v>69465</v>
      </c>
    </row>
    <row r="42" spans="1:13" x14ac:dyDescent="0.25">
      <c r="A42" t="s">
        <v>34</v>
      </c>
      <c r="B42" t="s">
        <v>23</v>
      </c>
      <c r="C42" t="s">
        <v>30</v>
      </c>
      <c r="D42" t="s">
        <v>16</v>
      </c>
      <c r="E42">
        <v>50</v>
      </c>
      <c r="F42">
        <v>100</v>
      </c>
      <c r="G42">
        <v>0.24628700000000001</v>
      </c>
      <c r="H42">
        <v>8.0780999999999992</v>
      </c>
      <c r="I42">
        <v>134</v>
      </c>
      <c r="J42">
        <v>0</v>
      </c>
      <c r="K42">
        <v>210272</v>
      </c>
      <c r="L42">
        <v>20271</v>
      </c>
      <c r="M42">
        <v>94</v>
      </c>
    </row>
    <row r="43" spans="1:13" x14ac:dyDescent="0.25">
      <c r="A43" t="s">
        <v>34</v>
      </c>
      <c r="B43" t="s">
        <v>23</v>
      </c>
      <c r="C43" t="s">
        <v>30</v>
      </c>
      <c r="D43" t="s">
        <v>17</v>
      </c>
      <c r="E43">
        <v>50</v>
      </c>
      <c r="F43">
        <v>100</v>
      </c>
      <c r="G43">
        <v>0.24588299999999999</v>
      </c>
      <c r="H43">
        <v>8.1095199999999998</v>
      </c>
      <c r="I43">
        <v>4464</v>
      </c>
      <c r="J43">
        <v>953407</v>
      </c>
      <c r="K43">
        <v>214780</v>
      </c>
      <c r="L43">
        <v>56993</v>
      </c>
      <c r="M43">
        <v>68</v>
      </c>
    </row>
    <row r="44" spans="1:13" x14ac:dyDescent="0.25">
      <c r="A44" t="s">
        <v>34</v>
      </c>
      <c r="B44" t="s">
        <v>23</v>
      </c>
      <c r="C44" t="s">
        <v>31</v>
      </c>
      <c r="D44" t="s">
        <v>16</v>
      </c>
      <c r="E44">
        <v>50</v>
      </c>
      <c r="F44">
        <v>100</v>
      </c>
      <c r="G44">
        <v>0.23189499999999999</v>
      </c>
      <c r="H44">
        <v>4.2801400000000003</v>
      </c>
      <c r="I44">
        <v>0</v>
      </c>
      <c r="J44">
        <v>0</v>
      </c>
      <c r="K44">
        <v>4952</v>
      </c>
      <c r="L44">
        <v>25930</v>
      </c>
      <c r="M44">
        <v>42</v>
      </c>
    </row>
    <row r="45" spans="1:13" x14ac:dyDescent="0.25">
      <c r="A45" t="s">
        <v>34</v>
      </c>
      <c r="B45" t="s">
        <v>23</v>
      </c>
      <c r="C45" t="s">
        <v>31</v>
      </c>
      <c r="D45" t="s">
        <v>17</v>
      </c>
      <c r="E45">
        <v>50</v>
      </c>
      <c r="F45">
        <v>100</v>
      </c>
      <c r="G45">
        <v>0.23169600000000001</v>
      </c>
      <c r="H45">
        <v>4.4396199999999997</v>
      </c>
      <c r="I45">
        <v>16137</v>
      </c>
      <c r="J45">
        <v>100895</v>
      </c>
      <c r="K45">
        <v>7518</v>
      </c>
      <c r="L45">
        <v>70296</v>
      </c>
      <c r="M45">
        <v>95</v>
      </c>
    </row>
    <row r="46" spans="1:13" x14ac:dyDescent="0.25">
      <c r="A46" t="s">
        <v>34</v>
      </c>
      <c r="B46" t="s">
        <v>23</v>
      </c>
      <c r="C46" t="s">
        <v>32</v>
      </c>
      <c r="D46" t="s">
        <v>16</v>
      </c>
      <c r="E46">
        <v>50</v>
      </c>
      <c r="F46">
        <v>100</v>
      </c>
      <c r="G46">
        <v>0.28034799999999999</v>
      </c>
      <c r="H46">
        <v>4.8135000000000003</v>
      </c>
      <c r="I46">
        <v>0</v>
      </c>
      <c r="J46">
        <v>0</v>
      </c>
      <c r="K46">
        <v>34722</v>
      </c>
      <c r="L46">
        <v>81055</v>
      </c>
      <c r="M46">
        <v>746</v>
      </c>
    </row>
    <row r="47" spans="1:13" x14ac:dyDescent="0.25">
      <c r="A47" t="s">
        <v>34</v>
      </c>
      <c r="B47" t="s">
        <v>23</v>
      </c>
      <c r="C47" t="s">
        <v>32</v>
      </c>
      <c r="D47" t="s">
        <v>17</v>
      </c>
      <c r="E47">
        <v>50</v>
      </c>
      <c r="F47">
        <v>100</v>
      </c>
      <c r="G47">
        <v>0.280339</v>
      </c>
      <c r="H47">
        <v>4.82193</v>
      </c>
      <c r="I47">
        <v>17721</v>
      </c>
      <c r="J47">
        <v>412496</v>
      </c>
      <c r="K47">
        <v>46766</v>
      </c>
      <c r="L47">
        <v>189530</v>
      </c>
      <c r="M47">
        <v>822</v>
      </c>
    </row>
    <row r="48" spans="1:13" x14ac:dyDescent="0.25">
      <c r="A48" t="s">
        <v>34</v>
      </c>
      <c r="B48" t="s">
        <v>23</v>
      </c>
      <c r="C48" t="s">
        <v>33</v>
      </c>
      <c r="D48" t="s">
        <v>16</v>
      </c>
      <c r="E48">
        <v>50</v>
      </c>
      <c r="F48">
        <v>100</v>
      </c>
      <c r="G48">
        <v>1.00024</v>
      </c>
      <c r="H48">
        <v>0.13718</v>
      </c>
      <c r="I48">
        <v>0</v>
      </c>
      <c r="J48">
        <v>0</v>
      </c>
      <c r="K48">
        <v>1279206</v>
      </c>
      <c r="L48">
        <v>9721</v>
      </c>
      <c r="M48">
        <v>9203</v>
      </c>
    </row>
    <row r="49" spans="1:13" x14ac:dyDescent="0.25">
      <c r="A49" t="s">
        <v>34</v>
      </c>
      <c r="B49" t="s">
        <v>23</v>
      </c>
      <c r="C49" t="s">
        <v>33</v>
      </c>
      <c r="D49" t="s">
        <v>17</v>
      </c>
      <c r="E49">
        <v>50</v>
      </c>
      <c r="F49">
        <v>100</v>
      </c>
      <c r="G49">
        <v>1.00343</v>
      </c>
      <c r="H49">
        <v>0.13718</v>
      </c>
      <c r="I49">
        <v>0</v>
      </c>
      <c r="J49">
        <v>4892149</v>
      </c>
      <c r="K49">
        <v>1287494</v>
      </c>
      <c r="L49">
        <v>13913</v>
      </c>
      <c r="M49">
        <v>10728</v>
      </c>
    </row>
    <row r="50" spans="1:13" x14ac:dyDescent="0.25">
      <c r="A50" t="s">
        <v>35</v>
      </c>
      <c r="B50" t="s">
        <v>36</v>
      </c>
      <c r="C50" t="s">
        <v>28</v>
      </c>
      <c r="D50" t="s">
        <v>16</v>
      </c>
      <c r="E50">
        <v>25</v>
      </c>
      <c r="F50">
        <v>25</v>
      </c>
      <c r="G50">
        <v>0.20916999999999999</v>
      </c>
      <c r="H50">
        <v>8.6800000000000002E-2</v>
      </c>
      <c r="I50">
        <v>0</v>
      </c>
      <c r="J50">
        <v>0</v>
      </c>
      <c r="K50">
        <v>961344</v>
      </c>
      <c r="L50">
        <v>407124</v>
      </c>
      <c r="M50">
        <v>76334</v>
      </c>
    </row>
    <row r="51" spans="1:13" x14ac:dyDescent="0.25">
      <c r="A51" t="s">
        <v>35</v>
      </c>
      <c r="B51" t="s">
        <v>36</v>
      </c>
      <c r="C51" t="s">
        <v>28</v>
      </c>
      <c r="D51" t="s">
        <v>17</v>
      </c>
      <c r="E51">
        <v>25</v>
      </c>
      <c r="F51">
        <v>25</v>
      </c>
      <c r="G51">
        <v>0.211647</v>
      </c>
      <c r="H51">
        <v>8.6800000000000002E-2</v>
      </c>
      <c r="I51">
        <v>3</v>
      </c>
      <c r="J51">
        <v>492785</v>
      </c>
      <c r="K51">
        <v>998737</v>
      </c>
      <c r="L51">
        <v>440611</v>
      </c>
      <c r="M51">
        <v>83435</v>
      </c>
    </row>
    <row r="52" spans="1:13" x14ac:dyDescent="0.25">
      <c r="A52" t="s">
        <v>35</v>
      </c>
      <c r="B52" t="s">
        <v>36</v>
      </c>
      <c r="C52" t="s">
        <v>37</v>
      </c>
      <c r="D52" t="s">
        <v>16</v>
      </c>
      <c r="E52">
        <v>25</v>
      </c>
      <c r="F52">
        <v>25</v>
      </c>
      <c r="G52">
        <v>0.44702500000000001</v>
      </c>
      <c r="H52">
        <v>0.73616000000000004</v>
      </c>
      <c r="I52">
        <v>0</v>
      </c>
      <c r="J52">
        <v>0</v>
      </c>
      <c r="K52">
        <v>1074</v>
      </c>
      <c r="L52">
        <v>0</v>
      </c>
      <c r="M52">
        <v>317</v>
      </c>
    </row>
    <row r="53" spans="1:13" x14ac:dyDescent="0.25">
      <c r="A53" t="s">
        <v>35</v>
      </c>
      <c r="B53" t="s">
        <v>36</v>
      </c>
      <c r="C53" t="s">
        <v>37</v>
      </c>
      <c r="D53" t="s">
        <v>17</v>
      </c>
      <c r="E53">
        <v>25</v>
      </c>
      <c r="F53">
        <v>25</v>
      </c>
      <c r="G53">
        <v>0.44781599999999999</v>
      </c>
      <c r="H53">
        <v>0.73616000000000004</v>
      </c>
      <c r="I53">
        <v>0</v>
      </c>
      <c r="J53">
        <v>68454</v>
      </c>
      <c r="K53">
        <v>1006</v>
      </c>
      <c r="L53">
        <v>0</v>
      </c>
      <c r="M53">
        <v>310</v>
      </c>
    </row>
    <row r="54" spans="1:13" x14ac:dyDescent="0.25">
      <c r="A54" t="s">
        <v>35</v>
      </c>
      <c r="B54" t="s">
        <v>36</v>
      </c>
      <c r="C54" t="s">
        <v>31</v>
      </c>
      <c r="D54" t="s">
        <v>16</v>
      </c>
      <c r="E54">
        <v>25</v>
      </c>
      <c r="F54">
        <v>25</v>
      </c>
      <c r="G54">
        <v>0.227718</v>
      </c>
      <c r="H54">
        <v>4.4102399999999999</v>
      </c>
      <c r="I54">
        <v>0</v>
      </c>
      <c r="J54">
        <v>0</v>
      </c>
      <c r="K54">
        <v>505</v>
      </c>
      <c r="L54">
        <v>988</v>
      </c>
      <c r="M54">
        <v>31</v>
      </c>
    </row>
    <row r="55" spans="1:13" x14ac:dyDescent="0.25">
      <c r="A55" t="s">
        <v>35</v>
      </c>
      <c r="B55" t="s">
        <v>36</v>
      </c>
      <c r="C55" t="s">
        <v>31</v>
      </c>
      <c r="D55" t="s">
        <v>17</v>
      </c>
      <c r="E55">
        <v>25</v>
      </c>
      <c r="F55">
        <v>25</v>
      </c>
      <c r="G55">
        <v>0.22770699999999999</v>
      </c>
      <c r="H55">
        <v>4.4263599999999999</v>
      </c>
      <c r="I55">
        <v>471</v>
      </c>
      <c r="J55">
        <v>5206</v>
      </c>
      <c r="K55">
        <v>685</v>
      </c>
      <c r="L55">
        <v>2428</v>
      </c>
      <c r="M55">
        <v>44</v>
      </c>
    </row>
    <row r="56" spans="1:13" x14ac:dyDescent="0.25">
      <c r="A56" t="s">
        <v>35</v>
      </c>
      <c r="B56" t="s">
        <v>36</v>
      </c>
      <c r="C56" t="s">
        <v>38</v>
      </c>
      <c r="D56" t="s">
        <v>16</v>
      </c>
      <c r="E56">
        <v>25</v>
      </c>
      <c r="F56">
        <v>25</v>
      </c>
      <c r="G56">
        <v>0.343443</v>
      </c>
      <c r="H56">
        <v>1.37856</v>
      </c>
      <c r="I56">
        <v>0</v>
      </c>
      <c r="J56">
        <v>0</v>
      </c>
      <c r="K56">
        <v>45986</v>
      </c>
      <c r="L56">
        <v>15052</v>
      </c>
      <c r="M56">
        <v>2237</v>
      </c>
    </row>
    <row r="57" spans="1:13" x14ac:dyDescent="0.25">
      <c r="A57" t="s">
        <v>35</v>
      </c>
      <c r="B57" t="s">
        <v>36</v>
      </c>
      <c r="C57" t="s">
        <v>38</v>
      </c>
      <c r="D57" t="s">
        <v>17</v>
      </c>
      <c r="E57">
        <v>25</v>
      </c>
      <c r="F57">
        <v>25</v>
      </c>
      <c r="G57">
        <v>0.34343600000000002</v>
      </c>
      <c r="H57">
        <v>1.37764</v>
      </c>
      <c r="I57">
        <v>382</v>
      </c>
      <c r="J57">
        <v>145178</v>
      </c>
      <c r="K57">
        <v>48398</v>
      </c>
      <c r="L57">
        <v>16133</v>
      </c>
      <c r="M57">
        <v>2158</v>
      </c>
    </row>
    <row r="58" spans="1:13" x14ac:dyDescent="0.25">
      <c r="A58" t="s">
        <v>35</v>
      </c>
      <c r="B58" t="s">
        <v>36</v>
      </c>
      <c r="C58" t="s">
        <v>33</v>
      </c>
      <c r="D58" t="s">
        <v>16</v>
      </c>
      <c r="E58">
        <v>25</v>
      </c>
      <c r="F58">
        <v>25</v>
      </c>
      <c r="G58">
        <v>1.0000500000000001</v>
      </c>
      <c r="H58">
        <v>0.13744000000000001</v>
      </c>
      <c r="I58">
        <v>0</v>
      </c>
      <c r="J58">
        <v>0</v>
      </c>
      <c r="K58">
        <v>289394</v>
      </c>
      <c r="L58">
        <v>481</v>
      </c>
      <c r="M58">
        <v>32350</v>
      </c>
    </row>
    <row r="59" spans="1:13" x14ac:dyDescent="0.25">
      <c r="A59" t="s">
        <v>35</v>
      </c>
      <c r="B59" t="s">
        <v>36</v>
      </c>
      <c r="C59" t="s">
        <v>33</v>
      </c>
      <c r="D59" t="s">
        <v>17</v>
      </c>
      <c r="E59">
        <v>25</v>
      </c>
      <c r="F59">
        <v>25</v>
      </c>
      <c r="G59">
        <v>1.0034000000000001</v>
      </c>
      <c r="H59">
        <v>0.13744000000000001</v>
      </c>
      <c r="I59">
        <v>0</v>
      </c>
      <c r="J59">
        <v>130858</v>
      </c>
      <c r="K59">
        <v>291593</v>
      </c>
      <c r="L59">
        <v>623</v>
      </c>
      <c r="M59">
        <v>32741</v>
      </c>
    </row>
    <row r="60" spans="1:13" x14ac:dyDescent="0.25">
      <c r="A60" t="s">
        <v>35</v>
      </c>
      <c r="B60" t="s">
        <v>36</v>
      </c>
      <c r="C60" t="s">
        <v>39</v>
      </c>
      <c r="D60" t="s">
        <v>16</v>
      </c>
      <c r="E60">
        <v>25</v>
      </c>
      <c r="F60">
        <v>25</v>
      </c>
      <c r="G60">
        <v>0.70695300000000005</v>
      </c>
      <c r="H60">
        <v>7.0400000000000003E-3</v>
      </c>
      <c r="I60">
        <v>0</v>
      </c>
      <c r="J60">
        <v>0</v>
      </c>
      <c r="K60">
        <v>1275</v>
      </c>
      <c r="L60">
        <v>129</v>
      </c>
      <c r="M60">
        <v>1</v>
      </c>
    </row>
    <row r="61" spans="1:13" x14ac:dyDescent="0.25">
      <c r="A61" t="s">
        <v>35</v>
      </c>
      <c r="B61" t="s">
        <v>36</v>
      </c>
      <c r="C61" t="s">
        <v>39</v>
      </c>
      <c r="D61" t="s">
        <v>17</v>
      </c>
      <c r="E61">
        <v>25</v>
      </c>
      <c r="F61">
        <v>25</v>
      </c>
      <c r="G61">
        <v>0.70695300000000005</v>
      </c>
      <c r="H61">
        <v>7.0400000000000003E-3</v>
      </c>
      <c r="I61">
        <v>0</v>
      </c>
      <c r="J61">
        <v>335</v>
      </c>
      <c r="K61">
        <v>1275</v>
      </c>
      <c r="L61">
        <v>129</v>
      </c>
      <c r="M61">
        <v>1</v>
      </c>
    </row>
    <row r="62" spans="1:13" x14ac:dyDescent="0.25">
      <c r="A62" t="s">
        <v>40</v>
      </c>
      <c r="B62" t="s">
        <v>23</v>
      </c>
      <c r="C62" t="s">
        <v>28</v>
      </c>
      <c r="D62" t="s">
        <v>16</v>
      </c>
      <c r="E62">
        <v>25</v>
      </c>
      <c r="F62">
        <v>25</v>
      </c>
      <c r="G62">
        <v>0.25608199999999998</v>
      </c>
      <c r="H62">
        <v>8.6760000000000004E-2</v>
      </c>
      <c r="I62">
        <v>0</v>
      </c>
      <c r="J62">
        <v>0</v>
      </c>
      <c r="K62">
        <v>1628017</v>
      </c>
      <c r="L62">
        <v>843353</v>
      </c>
      <c r="M62">
        <v>58774</v>
      </c>
    </row>
    <row r="63" spans="1:13" x14ac:dyDescent="0.25">
      <c r="A63" t="s">
        <v>40</v>
      </c>
      <c r="B63" t="s">
        <v>23</v>
      </c>
      <c r="C63" t="s">
        <v>28</v>
      </c>
      <c r="D63" t="s">
        <v>17</v>
      </c>
      <c r="E63">
        <v>25</v>
      </c>
      <c r="F63">
        <v>25</v>
      </c>
      <c r="G63">
        <v>0.28026200000000001</v>
      </c>
      <c r="H63">
        <v>8.6760000000000004E-2</v>
      </c>
      <c r="I63">
        <v>11</v>
      </c>
      <c r="J63">
        <v>4371349</v>
      </c>
      <c r="K63">
        <v>1770465</v>
      </c>
      <c r="L63">
        <v>978139</v>
      </c>
      <c r="M63">
        <v>61507</v>
      </c>
    </row>
    <row r="64" spans="1:13" x14ac:dyDescent="0.25">
      <c r="A64" t="s">
        <v>40</v>
      </c>
      <c r="B64" t="s">
        <v>23</v>
      </c>
      <c r="C64" t="s">
        <v>37</v>
      </c>
      <c r="D64" t="s">
        <v>16</v>
      </c>
      <c r="E64">
        <v>25</v>
      </c>
      <c r="F64">
        <v>25</v>
      </c>
      <c r="G64">
        <v>0.450905</v>
      </c>
      <c r="H64">
        <v>0.73616000000000004</v>
      </c>
      <c r="I64">
        <v>0</v>
      </c>
      <c r="J64">
        <v>0</v>
      </c>
      <c r="K64">
        <v>2645</v>
      </c>
      <c r="L64">
        <v>0</v>
      </c>
      <c r="M64">
        <v>275</v>
      </c>
    </row>
    <row r="65" spans="1:13" x14ac:dyDescent="0.25">
      <c r="A65" t="s">
        <v>40</v>
      </c>
      <c r="B65" t="s">
        <v>23</v>
      </c>
      <c r="C65" t="s">
        <v>37</v>
      </c>
      <c r="D65" t="s">
        <v>17</v>
      </c>
      <c r="E65">
        <v>25</v>
      </c>
      <c r="F65">
        <v>25</v>
      </c>
      <c r="G65">
        <v>0.44960099999999997</v>
      </c>
      <c r="H65">
        <v>0.73616000000000004</v>
      </c>
      <c r="I65">
        <v>0</v>
      </c>
      <c r="J65">
        <v>629283</v>
      </c>
      <c r="K65">
        <v>2033</v>
      </c>
      <c r="L65">
        <v>0</v>
      </c>
      <c r="M65">
        <v>227</v>
      </c>
    </row>
    <row r="66" spans="1:13" x14ac:dyDescent="0.25">
      <c r="A66" t="s">
        <v>40</v>
      </c>
      <c r="B66" t="s">
        <v>23</v>
      </c>
      <c r="C66" t="s">
        <v>31</v>
      </c>
      <c r="D66" t="s">
        <v>16</v>
      </c>
      <c r="E66">
        <v>25</v>
      </c>
      <c r="F66">
        <v>25</v>
      </c>
      <c r="G66">
        <v>0.22776199999999999</v>
      </c>
      <c r="H66">
        <v>4.4102399999999999</v>
      </c>
      <c r="I66">
        <v>0</v>
      </c>
      <c r="J66">
        <v>0</v>
      </c>
      <c r="K66">
        <v>1242</v>
      </c>
      <c r="L66">
        <v>6431</v>
      </c>
      <c r="M66">
        <v>8</v>
      </c>
    </row>
    <row r="67" spans="1:13" x14ac:dyDescent="0.25">
      <c r="A67" t="s">
        <v>40</v>
      </c>
      <c r="B67" t="s">
        <v>23</v>
      </c>
      <c r="C67" t="s">
        <v>31</v>
      </c>
      <c r="D67" t="s">
        <v>17</v>
      </c>
      <c r="E67">
        <v>25</v>
      </c>
      <c r="F67">
        <v>25</v>
      </c>
      <c r="G67">
        <v>0.22764000000000001</v>
      </c>
      <c r="H67">
        <v>4.5383199999999997</v>
      </c>
      <c r="I67">
        <v>3327</v>
      </c>
      <c r="J67">
        <v>29245</v>
      </c>
      <c r="K67">
        <v>1876</v>
      </c>
      <c r="L67">
        <v>16622</v>
      </c>
      <c r="M67">
        <v>21</v>
      </c>
    </row>
    <row r="68" spans="1:13" x14ac:dyDescent="0.25">
      <c r="A68" t="s">
        <v>40</v>
      </c>
      <c r="B68" t="s">
        <v>23</v>
      </c>
      <c r="C68" t="s">
        <v>38</v>
      </c>
      <c r="D68" t="s">
        <v>16</v>
      </c>
      <c r="E68">
        <v>25</v>
      </c>
      <c r="F68">
        <v>25</v>
      </c>
      <c r="G68">
        <v>0.342227</v>
      </c>
      <c r="H68">
        <v>1.37856</v>
      </c>
      <c r="I68">
        <v>0</v>
      </c>
      <c r="J68">
        <v>0</v>
      </c>
      <c r="K68">
        <v>51957</v>
      </c>
      <c r="L68">
        <v>71721</v>
      </c>
      <c r="M68">
        <v>910</v>
      </c>
    </row>
    <row r="69" spans="1:13" x14ac:dyDescent="0.25">
      <c r="A69" t="s">
        <v>40</v>
      </c>
      <c r="B69" t="s">
        <v>23</v>
      </c>
      <c r="C69" t="s">
        <v>38</v>
      </c>
      <c r="D69" t="s">
        <v>17</v>
      </c>
      <c r="E69">
        <v>25</v>
      </c>
      <c r="F69">
        <v>25</v>
      </c>
      <c r="G69">
        <v>0.34195999999999999</v>
      </c>
      <c r="H69">
        <v>1.37588</v>
      </c>
      <c r="I69">
        <v>426</v>
      </c>
      <c r="J69">
        <v>1767287</v>
      </c>
      <c r="K69">
        <v>55601</v>
      </c>
      <c r="L69">
        <v>83252</v>
      </c>
      <c r="M69">
        <v>392</v>
      </c>
    </row>
    <row r="70" spans="1:13" x14ac:dyDescent="0.25">
      <c r="A70" t="s">
        <v>40</v>
      </c>
      <c r="B70" t="s">
        <v>23</v>
      </c>
      <c r="C70" t="s">
        <v>33</v>
      </c>
      <c r="D70" t="s">
        <v>16</v>
      </c>
      <c r="E70">
        <v>25</v>
      </c>
      <c r="F70">
        <v>25</v>
      </c>
      <c r="G70">
        <v>1.0001199999999999</v>
      </c>
      <c r="H70">
        <v>0.13744000000000001</v>
      </c>
      <c r="I70">
        <v>0</v>
      </c>
      <c r="J70">
        <v>0</v>
      </c>
      <c r="K70">
        <v>319786</v>
      </c>
      <c r="L70">
        <v>2330</v>
      </c>
      <c r="M70">
        <v>2300</v>
      </c>
    </row>
    <row r="71" spans="1:13" x14ac:dyDescent="0.25">
      <c r="A71" t="s">
        <v>40</v>
      </c>
      <c r="B71" t="s">
        <v>23</v>
      </c>
      <c r="C71" t="s">
        <v>33</v>
      </c>
      <c r="D71" t="s">
        <v>17</v>
      </c>
      <c r="E71">
        <v>25</v>
      </c>
      <c r="F71">
        <v>25</v>
      </c>
      <c r="G71">
        <v>1.00332</v>
      </c>
      <c r="H71">
        <v>0.13744000000000001</v>
      </c>
      <c r="I71">
        <v>0</v>
      </c>
      <c r="J71">
        <v>1612667</v>
      </c>
      <c r="K71">
        <v>321872</v>
      </c>
      <c r="L71">
        <v>3375</v>
      </c>
      <c r="M71">
        <v>2686</v>
      </c>
    </row>
    <row r="72" spans="1:13" x14ac:dyDescent="0.25">
      <c r="A72" t="s">
        <v>40</v>
      </c>
      <c r="B72" t="s">
        <v>23</v>
      </c>
      <c r="C72" t="s">
        <v>39</v>
      </c>
      <c r="D72" t="s">
        <v>16</v>
      </c>
      <c r="E72">
        <v>25</v>
      </c>
      <c r="F72">
        <v>25</v>
      </c>
      <c r="G72">
        <v>0.70695300000000005</v>
      </c>
      <c r="H72">
        <v>7.0400000000000003E-3</v>
      </c>
      <c r="I72">
        <v>0</v>
      </c>
      <c r="J72">
        <v>0</v>
      </c>
      <c r="K72">
        <v>1275</v>
      </c>
      <c r="L72">
        <v>695</v>
      </c>
      <c r="M72">
        <v>1</v>
      </c>
    </row>
    <row r="73" spans="1:13" x14ac:dyDescent="0.25">
      <c r="A73" t="s">
        <v>40</v>
      </c>
      <c r="B73" t="s">
        <v>23</v>
      </c>
      <c r="C73" t="s">
        <v>39</v>
      </c>
      <c r="D73" t="s">
        <v>17</v>
      </c>
      <c r="E73">
        <v>25</v>
      </c>
      <c r="F73">
        <v>25</v>
      </c>
      <c r="G73">
        <v>0.70695300000000005</v>
      </c>
      <c r="H73">
        <v>7.0400000000000003E-3</v>
      </c>
      <c r="I73">
        <v>0</v>
      </c>
      <c r="J73">
        <v>8201</v>
      </c>
      <c r="K73">
        <v>1275</v>
      </c>
      <c r="L73">
        <v>695</v>
      </c>
      <c r="M73">
        <v>1</v>
      </c>
    </row>
    <row r="74" spans="1:13" x14ac:dyDescent="0.25">
      <c r="A74" t="s">
        <v>35</v>
      </c>
      <c r="B74" t="s">
        <v>36</v>
      </c>
      <c r="C74" t="s">
        <v>41</v>
      </c>
      <c r="D74" t="s">
        <v>16</v>
      </c>
      <c r="E74">
        <v>25</v>
      </c>
      <c r="F74">
        <v>25</v>
      </c>
      <c r="G74">
        <v>0.416076</v>
      </c>
      <c r="H74">
        <v>0.20763999999999999</v>
      </c>
      <c r="I74">
        <v>0</v>
      </c>
      <c r="J74">
        <v>0</v>
      </c>
      <c r="K74">
        <v>370579</v>
      </c>
      <c r="L74">
        <v>3026</v>
      </c>
      <c r="M74">
        <v>628</v>
      </c>
    </row>
    <row r="75" spans="1:13" x14ac:dyDescent="0.25">
      <c r="A75" t="s">
        <v>35</v>
      </c>
      <c r="B75" t="s">
        <v>36</v>
      </c>
      <c r="C75" t="s">
        <v>41</v>
      </c>
      <c r="D75" t="s">
        <v>17</v>
      </c>
      <c r="E75">
        <v>25</v>
      </c>
      <c r="F75">
        <v>25</v>
      </c>
      <c r="G75">
        <v>0.417827</v>
      </c>
      <c r="H75">
        <v>0.20768</v>
      </c>
      <c r="I75">
        <v>2409</v>
      </c>
      <c r="J75">
        <v>237144</v>
      </c>
      <c r="K75">
        <v>376723</v>
      </c>
      <c r="L75">
        <v>3067</v>
      </c>
      <c r="M75">
        <v>830</v>
      </c>
    </row>
    <row r="76" spans="1:13" x14ac:dyDescent="0.25">
      <c r="A76" t="s">
        <v>35</v>
      </c>
      <c r="B76" t="s">
        <v>36</v>
      </c>
      <c r="C76" t="s">
        <v>29</v>
      </c>
      <c r="D76" t="s">
        <v>16</v>
      </c>
      <c r="E76">
        <v>25</v>
      </c>
      <c r="F76">
        <v>25</v>
      </c>
      <c r="G76">
        <v>0.31043700000000002</v>
      </c>
      <c r="H76">
        <v>1.23708</v>
      </c>
      <c r="I76">
        <v>0</v>
      </c>
      <c r="J76">
        <v>0</v>
      </c>
      <c r="K76">
        <v>247003</v>
      </c>
      <c r="L76">
        <v>114953</v>
      </c>
      <c r="M76">
        <v>18572</v>
      </c>
    </row>
    <row r="77" spans="1:13" x14ac:dyDescent="0.25">
      <c r="A77" t="s">
        <v>35</v>
      </c>
      <c r="B77" t="s">
        <v>36</v>
      </c>
      <c r="C77" t="s">
        <v>29</v>
      </c>
      <c r="D77" t="s">
        <v>17</v>
      </c>
      <c r="E77">
        <v>25</v>
      </c>
      <c r="F77">
        <v>25</v>
      </c>
      <c r="G77">
        <v>0.31425399999999998</v>
      </c>
      <c r="H77">
        <v>1.2369600000000001</v>
      </c>
      <c r="I77">
        <v>13988</v>
      </c>
      <c r="J77">
        <v>150427</v>
      </c>
      <c r="K77">
        <v>256058</v>
      </c>
      <c r="L77">
        <v>124182</v>
      </c>
      <c r="M77">
        <v>21243</v>
      </c>
    </row>
    <row r="78" spans="1:13" x14ac:dyDescent="0.25">
      <c r="A78" t="s">
        <v>35</v>
      </c>
      <c r="B78" t="s">
        <v>36</v>
      </c>
      <c r="C78" t="s">
        <v>30</v>
      </c>
      <c r="D78" t="s">
        <v>16</v>
      </c>
      <c r="E78">
        <v>25</v>
      </c>
      <c r="F78">
        <v>25</v>
      </c>
      <c r="G78">
        <v>0.18957399999999999</v>
      </c>
      <c r="H78">
        <v>9.4732800000000008</v>
      </c>
      <c r="I78">
        <v>28</v>
      </c>
      <c r="J78">
        <v>0</v>
      </c>
      <c r="K78">
        <v>63692</v>
      </c>
      <c r="L78">
        <v>995</v>
      </c>
      <c r="M78">
        <v>28</v>
      </c>
    </row>
    <row r="79" spans="1:13" x14ac:dyDescent="0.25">
      <c r="A79" t="s">
        <v>35</v>
      </c>
      <c r="B79" t="s">
        <v>36</v>
      </c>
      <c r="C79" t="s">
        <v>30</v>
      </c>
      <c r="D79" t="s">
        <v>17</v>
      </c>
      <c r="E79">
        <v>25</v>
      </c>
      <c r="F79">
        <v>25</v>
      </c>
      <c r="G79">
        <v>0.18962100000000001</v>
      </c>
      <c r="H79">
        <v>9.4739599999999999</v>
      </c>
      <c r="I79">
        <v>419</v>
      </c>
      <c r="J79">
        <v>18686</v>
      </c>
      <c r="K79">
        <v>64442</v>
      </c>
      <c r="L79">
        <v>2008</v>
      </c>
      <c r="M79">
        <v>25</v>
      </c>
    </row>
    <row r="80" spans="1:13" x14ac:dyDescent="0.25">
      <c r="A80" t="s">
        <v>35</v>
      </c>
      <c r="B80" t="s">
        <v>36</v>
      </c>
      <c r="C80" t="s">
        <v>42</v>
      </c>
      <c r="D80" t="s">
        <v>16</v>
      </c>
      <c r="E80">
        <v>25</v>
      </c>
      <c r="F80">
        <v>25</v>
      </c>
      <c r="G80">
        <v>0.85338499999999995</v>
      </c>
      <c r="H80">
        <v>4.0719999999999999E-2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">
        <v>35</v>
      </c>
      <c r="B81" t="s">
        <v>36</v>
      </c>
      <c r="C81" t="s">
        <v>42</v>
      </c>
      <c r="D81" t="s">
        <v>17</v>
      </c>
      <c r="E81">
        <v>25</v>
      </c>
      <c r="F81">
        <v>25</v>
      </c>
      <c r="G81">
        <v>0.85338499999999995</v>
      </c>
      <c r="H81">
        <v>4.0719999999999999E-2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">
        <v>35</v>
      </c>
      <c r="B82" t="s">
        <v>36</v>
      </c>
      <c r="C82" t="s">
        <v>43</v>
      </c>
      <c r="D82" t="s">
        <v>16</v>
      </c>
      <c r="E82">
        <v>25</v>
      </c>
      <c r="F82">
        <v>25</v>
      </c>
      <c r="G82">
        <v>0.21929000000000001</v>
      </c>
      <c r="H82">
        <v>4.94916</v>
      </c>
      <c r="I82">
        <v>1</v>
      </c>
      <c r="J82">
        <v>0</v>
      </c>
      <c r="K82">
        <v>534</v>
      </c>
      <c r="L82">
        <v>1160</v>
      </c>
      <c r="M82">
        <v>38</v>
      </c>
    </row>
    <row r="83" spans="1:13" x14ac:dyDescent="0.25">
      <c r="A83" t="s">
        <v>35</v>
      </c>
      <c r="B83" t="s">
        <v>36</v>
      </c>
      <c r="C83" t="s">
        <v>43</v>
      </c>
      <c r="D83" t="s">
        <v>17</v>
      </c>
      <c r="E83">
        <v>25</v>
      </c>
      <c r="F83">
        <v>25</v>
      </c>
      <c r="G83">
        <v>0.21929399999999999</v>
      </c>
      <c r="H83">
        <v>4.9552800000000001</v>
      </c>
      <c r="I83">
        <v>171</v>
      </c>
      <c r="J83">
        <v>1968</v>
      </c>
      <c r="K83">
        <v>609</v>
      </c>
      <c r="L83">
        <v>2035</v>
      </c>
      <c r="M83">
        <v>40</v>
      </c>
    </row>
    <row r="84" spans="1:13" x14ac:dyDescent="0.25">
      <c r="A84" t="s">
        <v>35</v>
      </c>
      <c r="B84" t="s">
        <v>36</v>
      </c>
      <c r="C84" t="s">
        <v>32</v>
      </c>
      <c r="D84" t="s">
        <v>16</v>
      </c>
      <c r="E84">
        <v>25</v>
      </c>
      <c r="F84">
        <v>25</v>
      </c>
      <c r="G84">
        <v>0.27402300000000002</v>
      </c>
      <c r="H84">
        <v>5.0762</v>
      </c>
      <c r="I84">
        <v>0</v>
      </c>
      <c r="J84">
        <v>0</v>
      </c>
      <c r="K84">
        <v>5007</v>
      </c>
      <c r="L84">
        <v>5680</v>
      </c>
      <c r="M84">
        <v>80</v>
      </c>
    </row>
    <row r="85" spans="1:13" x14ac:dyDescent="0.25">
      <c r="A85" t="s">
        <v>35</v>
      </c>
      <c r="B85" t="s">
        <v>36</v>
      </c>
      <c r="C85" t="s">
        <v>32</v>
      </c>
      <c r="D85" t="s">
        <v>17</v>
      </c>
      <c r="E85">
        <v>25</v>
      </c>
      <c r="F85">
        <v>25</v>
      </c>
      <c r="G85">
        <v>0.27422299999999999</v>
      </c>
      <c r="H85">
        <v>5.0763999999999996</v>
      </c>
      <c r="I85">
        <v>916</v>
      </c>
      <c r="J85">
        <v>9043</v>
      </c>
      <c r="K85">
        <v>5951</v>
      </c>
      <c r="L85">
        <v>8095</v>
      </c>
      <c r="M85">
        <v>97</v>
      </c>
    </row>
    <row r="86" spans="1:13" x14ac:dyDescent="0.25">
      <c r="A86" t="s">
        <v>40</v>
      </c>
      <c r="B86" t="s">
        <v>23</v>
      </c>
      <c r="C86" t="s">
        <v>41</v>
      </c>
      <c r="D86" t="s">
        <v>16</v>
      </c>
      <c r="E86">
        <v>25</v>
      </c>
      <c r="F86">
        <v>25</v>
      </c>
      <c r="G86">
        <v>0.41707699999999998</v>
      </c>
      <c r="H86">
        <v>0.20763999999999999</v>
      </c>
      <c r="I86">
        <v>0</v>
      </c>
      <c r="J86">
        <v>0</v>
      </c>
      <c r="K86">
        <v>371657</v>
      </c>
      <c r="L86">
        <v>23129</v>
      </c>
      <c r="M86">
        <v>522</v>
      </c>
    </row>
    <row r="87" spans="1:13" x14ac:dyDescent="0.25">
      <c r="A87" t="s">
        <v>40</v>
      </c>
      <c r="B87" t="s">
        <v>23</v>
      </c>
      <c r="C87" t="s">
        <v>41</v>
      </c>
      <c r="D87" t="s">
        <v>17</v>
      </c>
      <c r="E87">
        <v>25</v>
      </c>
      <c r="F87">
        <v>25</v>
      </c>
      <c r="G87">
        <v>0.41897899999999999</v>
      </c>
      <c r="H87">
        <v>0.20796000000000001</v>
      </c>
      <c r="I87">
        <v>2456</v>
      </c>
      <c r="J87">
        <v>2920278</v>
      </c>
      <c r="K87">
        <v>377725</v>
      </c>
      <c r="L87">
        <v>23839</v>
      </c>
      <c r="M87">
        <v>590</v>
      </c>
    </row>
    <row r="88" spans="1:13" x14ac:dyDescent="0.25">
      <c r="A88" t="s">
        <v>40</v>
      </c>
      <c r="B88" t="s">
        <v>23</v>
      </c>
      <c r="C88" t="s">
        <v>29</v>
      </c>
      <c r="D88" t="s">
        <v>16</v>
      </c>
      <c r="E88">
        <v>25</v>
      </c>
      <c r="F88">
        <v>25</v>
      </c>
      <c r="G88">
        <v>0.34729300000000002</v>
      </c>
      <c r="H88">
        <v>1.23708</v>
      </c>
      <c r="I88">
        <v>0</v>
      </c>
      <c r="J88">
        <v>0</v>
      </c>
      <c r="K88">
        <v>434671</v>
      </c>
      <c r="L88">
        <v>227671</v>
      </c>
      <c r="M88">
        <v>13656</v>
      </c>
    </row>
    <row r="89" spans="1:13" x14ac:dyDescent="0.25">
      <c r="A89" t="s">
        <v>40</v>
      </c>
      <c r="B89" t="s">
        <v>23</v>
      </c>
      <c r="C89" t="s">
        <v>29</v>
      </c>
      <c r="D89" t="s">
        <v>17</v>
      </c>
      <c r="E89">
        <v>25</v>
      </c>
      <c r="F89">
        <v>25</v>
      </c>
      <c r="G89">
        <v>0.36697400000000002</v>
      </c>
      <c r="H89">
        <v>1.23664</v>
      </c>
      <c r="I89">
        <v>24412</v>
      </c>
      <c r="J89">
        <v>1324480</v>
      </c>
      <c r="K89">
        <v>475054</v>
      </c>
      <c r="L89">
        <v>265385</v>
      </c>
      <c r="M89">
        <v>15612</v>
      </c>
    </row>
    <row r="90" spans="1:13" x14ac:dyDescent="0.25">
      <c r="A90" t="s">
        <v>40</v>
      </c>
      <c r="B90" t="s">
        <v>23</v>
      </c>
      <c r="C90" t="s">
        <v>30</v>
      </c>
      <c r="D90" t="s">
        <v>16</v>
      </c>
      <c r="E90">
        <v>25</v>
      </c>
      <c r="F90">
        <v>25</v>
      </c>
      <c r="G90">
        <v>0.18970400000000001</v>
      </c>
      <c r="H90">
        <v>9.4732400000000005</v>
      </c>
      <c r="I90">
        <v>28</v>
      </c>
      <c r="J90">
        <v>0</v>
      </c>
      <c r="K90">
        <v>63598</v>
      </c>
      <c r="L90">
        <v>3256</v>
      </c>
      <c r="M90">
        <v>15</v>
      </c>
    </row>
    <row r="91" spans="1:13" x14ac:dyDescent="0.25">
      <c r="A91" t="s">
        <v>40</v>
      </c>
      <c r="B91" t="s">
        <v>23</v>
      </c>
      <c r="C91" t="s">
        <v>30</v>
      </c>
      <c r="D91" t="s">
        <v>17</v>
      </c>
      <c r="E91">
        <v>25</v>
      </c>
      <c r="F91">
        <v>25</v>
      </c>
      <c r="G91">
        <v>0.189475</v>
      </c>
      <c r="H91">
        <v>9.4817599999999995</v>
      </c>
      <c r="I91">
        <v>649</v>
      </c>
      <c r="J91">
        <v>314490</v>
      </c>
      <c r="K91">
        <v>64562</v>
      </c>
      <c r="L91">
        <v>9220</v>
      </c>
      <c r="M91">
        <v>12</v>
      </c>
    </row>
    <row r="92" spans="1:13" x14ac:dyDescent="0.25">
      <c r="A92" t="s">
        <v>40</v>
      </c>
      <c r="B92" t="s">
        <v>23</v>
      </c>
      <c r="C92" t="s">
        <v>42</v>
      </c>
      <c r="D92" t="s">
        <v>16</v>
      </c>
      <c r="E92">
        <v>25</v>
      </c>
      <c r="F92">
        <v>25</v>
      </c>
      <c r="G92">
        <v>0.85338499999999995</v>
      </c>
      <c r="H92">
        <v>4.0719999999999999E-2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40</v>
      </c>
      <c r="B93" t="s">
        <v>23</v>
      </c>
      <c r="C93" t="s">
        <v>42</v>
      </c>
      <c r="D93" t="s">
        <v>17</v>
      </c>
      <c r="E93">
        <v>25</v>
      </c>
      <c r="F93">
        <v>25</v>
      </c>
      <c r="G93">
        <v>0.85338499999999995</v>
      </c>
      <c r="H93">
        <v>4.0719999999999999E-2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40</v>
      </c>
      <c r="B94" t="s">
        <v>23</v>
      </c>
      <c r="C94" t="s">
        <v>43</v>
      </c>
      <c r="D94" t="s">
        <v>16</v>
      </c>
      <c r="E94">
        <v>25</v>
      </c>
      <c r="F94">
        <v>25</v>
      </c>
      <c r="G94">
        <v>0.219307</v>
      </c>
      <c r="H94">
        <v>4.9491199999999997</v>
      </c>
      <c r="I94">
        <v>1</v>
      </c>
      <c r="J94">
        <v>0</v>
      </c>
      <c r="K94">
        <v>1458</v>
      </c>
      <c r="L94">
        <v>8778</v>
      </c>
      <c r="M94">
        <v>12</v>
      </c>
    </row>
    <row r="95" spans="1:13" x14ac:dyDescent="0.25">
      <c r="A95" t="s">
        <v>40</v>
      </c>
      <c r="B95" t="s">
        <v>23</v>
      </c>
      <c r="C95" t="s">
        <v>43</v>
      </c>
      <c r="D95" t="s">
        <v>17</v>
      </c>
      <c r="E95">
        <v>25</v>
      </c>
      <c r="F95">
        <v>25</v>
      </c>
      <c r="G95">
        <v>0.21931500000000001</v>
      </c>
      <c r="H95">
        <v>4.99864</v>
      </c>
      <c r="I95">
        <v>1358</v>
      </c>
      <c r="J95">
        <v>13858</v>
      </c>
      <c r="K95">
        <v>2006</v>
      </c>
      <c r="L95">
        <v>16204</v>
      </c>
      <c r="M95">
        <v>19</v>
      </c>
    </row>
    <row r="96" spans="1:13" x14ac:dyDescent="0.25">
      <c r="A96" t="s">
        <v>40</v>
      </c>
      <c r="B96" t="s">
        <v>23</v>
      </c>
      <c r="C96" t="s">
        <v>32</v>
      </c>
      <c r="D96" t="s">
        <v>16</v>
      </c>
      <c r="E96">
        <v>25</v>
      </c>
      <c r="F96">
        <v>25</v>
      </c>
      <c r="G96">
        <v>0.27402399999999999</v>
      </c>
      <c r="H96">
        <v>5.0762</v>
      </c>
      <c r="I96">
        <v>0</v>
      </c>
      <c r="J96">
        <v>0</v>
      </c>
      <c r="K96">
        <v>5786</v>
      </c>
      <c r="L96">
        <v>14868</v>
      </c>
      <c r="M96">
        <v>92</v>
      </c>
    </row>
    <row r="97" spans="1:13" x14ac:dyDescent="0.25">
      <c r="A97" t="s">
        <v>40</v>
      </c>
      <c r="B97" t="s">
        <v>23</v>
      </c>
      <c r="C97" t="s">
        <v>32</v>
      </c>
      <c r="D97" t="s">
        <v>17</v>
      </c>
      <c r="E97">
        <v>25</v>
      </c>
      <c r="F97">
        <v>25</v>
      </c>
      <c r="G97">
        <v>0.27393600000000001</v>
      </c>
      <c r="H97">
        <v>5.0790800000000003</v>
      </c>
      <c r="I97">
        <v>4385</v>
      </c>
      <c r="J97">
        <v>93751</v>
      </c>
      <c r="K97">
        <v>8188</v>
      </c>
      <c r="L97">
        <v>36989</v>
      </c>
      <c r="M97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opLeftCell="A3" zoomScaleNormal="100" workbookViewId="0">
      <selection activeCell="I9" sqref="I9"/>
    </sheetView>
  </sheetViews>
  <sheetFormatPr defaultColWidth="8.7109375" defaultRowHeight="15" x14ac:dyDescent="0.25"/>
  <cols>
    <col min="1" max="1" width="10" customWidth="1"/>
    <col min="2" max="2" width="27" customWidth="1"/>
    <col min="3" max="3" width="33" customWidth="1"/>
    <col min="4" max="4" width="26" customWidth="1"/>
    <col min="5" max="5" width="19" customWidth="1"/>
    <col min="6" max="6" width="20" customWidth="1"/>
    <col min="7" max="7" width="18" customWidth="1"/>
  </cols>
  <sheetData>
    <row r="1" spans="1:7" x14ac:dyDescent="0.25">
      <c r="A1" s="13" t="s">
        <v>44</v>
      </c>
      <c r="B1" s="13"/>
      <c r="C1" s="13"/>
    </row>
    <row r="3" spans="1:7" x14ac:dyDescent="0.25">
      <c r="A3" s="13" t="s">
        <v>45</v>
      </c>
      <c r="B3" s="13"/>
    </row>
    <row r="4" spans="1:7" x14ac:dyDescent="0.25">
      <c r="A4" s="1" t="s">
        <v>2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</row>
    <row r="5" spans="1:7" x14ac:dyDescent="0.25">
      <c r="A5" t="s">
        <v>15</v>
      </c>
      <c r="B5" s="2">
        <f>SUMIFS(Raw!$G:$G,Raw!$A:$A,"CP1",Raw!$C:$C,$A5,Raw!$D:$D,"discard")</f>
        <v>0.23345199999999999</v>
      </c>
      <c r="C5" s="2">
        <f>SUMIFS(Raw!$G:$G,Raw!$A:$A,"CP1",Raw!$C:$C,$A5,Raw!$D:$D,"permit")</f>
        <v>0.23344200000000001</v>
      </c>
      <c r="D5" s="3">
        <f>C5/B5</f>
        <v>0.99995716464198214</v>
      </c>
      <c r="E5" s="4">
        <f>SUMIFS(Raw!$H:$H,Raw!$A:$A,"CP1",Raw!$C:$C,$A5,Raw!$D:$D,"discard")</f>
        <v>2.8550800000000001</v>
      </c>
      <c r="F5" s="4">
        <f>SUMIFS(Raw!$H:$H,Raw!$A:$A,"CP1",Raw!$C:$C,$A5,Raw!$D:$D,"permit")</f>
        <v>2.85568</v>
      </c>
    </row>
    <row r="6" spans="1:7" x14ac:dyDescent="0.25">
      <c r="A6" t="s">
        <v>18</v>
      </c>
      <c r="B6" s="2">
        <f>SUMIFS(Raw!$G:$G,Raw!$A:$A,"CP1",Raw!$C:$C,$A6,Raw!$D:$D,"discard")</f>
        <v>0.25125999999999998</v>
      </c>
      <c r="C6" s="2">
        <f>SUMIFS(Raw!$G:$G,Raw!$A:$A,"CP1",Raw!$C:$C,$A6,Raw!$D:$D,"permit")</f>
        <v>0.25126399999999999</v>
      </c>
      <c r="D6" s="3">
        <f>C6/B6</f>
        <v>1.0000159197643874</v>
      </c>
      <c r="E6" s="4">
        <f>SUMIFS(Raw!$H:$H,Raw!$A:$A,"CP1",Raw!$C:$C,$A6,Raw!$D:$D,"discard")</f>
        <v>2.7263600000000001</v>
      </c>
      <c r="F6" s="4">
        <f>SUMIFS(Raw!$H:$H,Raw!$A:$A,"CP1",Raw!$C:$C,$A6,Raw!$D:$D,"permit")</f>
        <v>2.7266400000000002</v>
      </c>
    </row>
    <row r="7" spans="1:7" x14ac:dyDescent="0.25">
      <c r="A7" t="s">
        <v>19</v>
      </c>
      <c r="B7" s="2">
        <f>SUMIFS(Raw!$G:$G,Raw!$A:$A,"CP1",Raw!$C:$C,$A7,Raw!$D:$D,"discard")</f>
        <v>0.38286199999999998</v>
      </c>
      <c r="C7" s="2">
        <f>SUMIFS(Raw!$G:$G,Raw!$A:$A,"CP1",Raw!$C:$C,$A7,Raw!$D:$D,"permit")</f>
        <v>0.38287700000000002</v>
      </c>
      <c r="D7" s="3">
        <f>C7/B7</f>
        <v>1.0000391786074356</v>
      </c>
      <c r="E7" s="4">
        <f>SUMIFS(Raw!$H:$H,Raw!$A:$A,"CP1",Raw!$C:$C,$A7,Raw!$D:$D,"discard")</f>
        <v>0.93411999999999995</v>
      </c>
      <c r="F7" s="4">
        <f>SUMIFS(Raw!$H:$H,Raw!$A:$A,"CP1",Raw!$C:$C,$A7,Raw!$D:$D,"permit")</f>
        <v>0.93700000000000006</v>
      </c>
    </row>
    <row r="8" spans="1:7" x14ac:dyDescent="0.25">
      <c r="A8" s="1" t="s">
        <v>51</v>
      </c>
      <c r="B8" s="5"/>
      <c r="C8" s="5"/>
      <c r="D8" s="6">
        <f>GEOMEAN(D5:D7)</f>
        <v>1.0000040870757405</v>
      </c>
      <c r="E8" s="7"/>
      <c r="F8" s="7"/>
    </row>
    <row r="10" spans="1:7" x14ac:dyDescent="0.25">
      <c r="A10" s="13" t="s">
        <v>52</v>
      </c>
      <c r="B10" s="13"/>
      <c r="C10" s="13"/>
    </row>
    <row r="11" spans="1:7" x14ac:dyDescent="0.25">
      <c r="A11" s="1" t="s">
        <v>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</row>
    <row r="12" spans="1:7" x14ac:dyDescent="0.25">
      <c r="A12" t="s">
        <v>15</v>
      </c>
      <c r="B12">
        <f>SUMIFS(Raw!$J:$J,Raw!$A:$A,"CP1",Raw!$C:$C,$A12,Raw!$D:$D,"permit")</f>
        <v>33740</v>
      </c>
      <c r="C12">
        <f>SUMIFS(Raw!$I:$I,Raw!$A:$A,"CP1",Raw!$C:$C,$A12,Raw!$D:$D,"permit")</f>
        <v>122</v>
      </c>
      <c r="D12" s="8">
        <f>C12/B12</f>
        <v>3.6158861885002965E-3</v>
      </c>
      <c r="E12">
        <f>SUMIFS(Raw!$K:$K,Raw!$A:$A,"CP1",Raw!$C:$C,$A12,Raw!$D:$D,"permit")-SUMIFS(Raw!$K:$K,Raw!$A:$A,"CP1",Raw!$C:$C,$A12,Raw!$D:$D,"discard")</f>
        <v>510</v>
      </c>
      <c r="F12">
        <f>SUMIFS(Raw!$L:$L,Raw!$A:$A,"CP1",Raw!$C:$C,$A12,Raw!$D:$D,"permit")-SUMIFS(Raw!$L:$L,Raw!$A:$A,"CP1",Raw!$C:$C,$A12,Raw!$D:$D,"discard")</f>
        <v>364</v>
      </c>
      <c r="G12">
        <f>SUMIFS(Raw!$M:$M,Raw!$A:$A,"CP1",Raw!$C:$C,$A12,Raw!$D:$D,"permit")-SUMIFS(Raw!$M:$M,Raw!$A:$A,"CP1",Raw!$C:$C,$A12,Raw!$D:$D,"discard")</f>
        <v>133</v>
      </c>
    </row>
    <row r="13" spans="1:7" x14ac:dyDescent="0.25">
      <c r="A13" t="s">
        <v>18</v>
      </c>
      <c r="B13">
        <f>SUMIFS(Raw!$J:$J,Raw!$A:$A,"CP1",Raw!$C:$C,$A13,Raw!$D:$D,"permit")</f>
        <v>8390</v>
      </c>
      <c r="C13">
        <f>SUMIFS(Raw!$I:$I,Raw!$A:$A,"CP1",Raw!$C:$C,$A13,Raw!$D:$D,"permit")</f>
        <v>18</v>
      </c>
      <c r="D13" s="8">
        <f>C13/B13</f>
        <v>2.1454112038140644E-3</v>
      </c>
      <c r="E13">
        <f>SUMIFS(Raw!$K:$K,Raw!$A:$A,"CP1",Raw!$C:$C,$A13,Raw!$D:$D,"permit")-SUMIFS(Raw!$K:$K,Raw!$A:$A,"CP1",Raw!$C:$C,$A13,Raw!$D:$D,"discard")</f>
        <v>70</v>
      </c>
      <c r="F13">
        <f>SUMIFS(Raw!$L:$L,Raw!$A:$A,"CP1",Raw!$C:$C,$A13,Raw!$D:$D,"permit")-SUMIFS(Raw!$L:$L,Raw!$A:$A,"CP1",Raw!$C:$C,$A13,Raw!$D:$D,"discard")</f>
        <v>57</v>
      </c>
      <c r="G13">
        <f>SUMIFS(Raw!$M:$M,Raw!$A:$A,"CP1",Raw!$C:$C,$A13,Raw!$D:$D,"permit")-SUMIFS(Raw!$M:$M,Raw!$A:$A,"CP1",Raw!$C:$C,$A13,Raw!$D:$D,"discard")</f>
        <v>24</v>
      </c>
    </row>
    <row r="14" spans="1:7" x14ac:dyDescent="0.25">
      <c r="A14" t="s">
        <v>19</v>
      </c>
      <c r="B14">
        <f>SUMIFS(Raw!$J:$J,Raw!$A:$A,"CP1",Raw!$C:$C,$A14,Raw!$D:$D,"permit")</f>
        <v>16303</v>
      </c>
      <c r="C14">
        <f>SUMIFS(Raw!$I:$I,Raw!$A:$A,"CP1",Raw!$C:$C,$A14,Raw!$D:$D,"permit")</f>
        <v>82</v>
      </c>
      <c r="D14" s="8">
        <f>C14/B14</f>
        <v>5.0297491259277431E-3</v>
      </c>
      <c r="E14">
        <f>SUMIFS(Raw!$K:$K,Raw!$A:$A,"CP1",Raw!$C:$C,$A14,Raw!$D:$D,"permit")-SUMIFS(Raw!$K:$K,Raw!$A:$A,"CP1",Raw!$C:$C,$A14,Raw!$D:$D,"discard")</f>
        <v>38</v>
      </c>
      <c r="F14">
        <f>SUMIFS(Raw!$L:$L,Raw!$A:$A,"CP1",Raw!$C:$C,$A14,Raw!$D:$D,"permit")-SUMIFS(Raw!$L:$L,Raw!$A:$A,"CP1",Raw!$C:$C,$A14,Raw!$D:$D,"discard")</f>
        <v>323</v>
      </c>
      <c r="G14">
        <f>SUMIFS(Raw!$M:$M,Raw!$A:$A,"CP1",Raw!$C:$C,$A14,Raw!$D:$D,"permit")-SUMIFS(Raw!$M:$M,Raw!$A:$A,"CP1",Raw!$C:$C,$A14,Raw!$D:$D,"discard")</f>
        <v>89</v>
      </c>
    </row>
    <row r="16" spans="1:7" x14ac:dyDescent="0.25">
      <c r="A16" s="1" t="s">
        <v>59</v>
      </c>
    </row>
    <row r="17" spans="1:1" x14ac:dyDescent="0.25">
      <c r="A17" t="s">
        <v>60</v>
      </c>
    </row>
    <row r="18" spans="1:1" x14ac:dyDescent="0.25">
      <c r="A18" t="s">
        <v>61</v>
      </c>
    </row>
    <row r="19" spans="1:1" x14ac:dyDescent="0.25">
      <c r="A19" t="s">
        <v>62</v>
      </c>
    </row>
    <row r="20" spans="1:1" x14ac:dyDescent="0.25">
      <c r="A20" t="s">
        <v>63</v>
      </c>
    </row>
  </sheetData>
  <mergeCells count="3">
    <mergeCell ref="A1:C1"/>
    <mergeCell ref="A3:B3"/>
    <mergeCell ref="A10:C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zoomScaleNormal="100" workbookViewId="0">
      <selection activeCell="T26" sqref="T26"/>
    </sheetView>
  </sheetViews>
  <sheetFormatPr defaultColWidth="8.7109375" defaultRowHeight="15" x14ac:dyDescent="0.25"/>
  <cols>
    <col min="1" max="1" width="16" customWidth="1"/>
    <col min="2" max="2" width="9" customWidth="1"/>
    <col min="3" max="6" width="10" customWidth="1"/>
  </cols>
  <sheetData>
    <row r="1" spans="1:8" x14ac:dyDescent="0.25">
      <c r="A1" s="13" t="s">
        <v>64</v>
      </c>
      <c r="B1" s="13"/>
      <c r="C1" s="13"/>
      <c r="D1" s="13"/>
      <c r="E1" s="13"/>
      <c r="F1" s="13"/>
      <c r="G1" s="13"/>
      <c r="H1" s="13"/>
    </row>
    <row r="3" spans="1:8" x14ac:dyDescent="0.25">
      <c r="A3" s="13" t="s">
        <v>105</v>
      </c>
      <c r="B3" s="13"/>
      <c r="C3" s="13"/>
      <c r="D3" s="13"/>
      <c r="E3" s="13"/>
    </row>
    <row r="4" spans="1:8" x14ac:dyDescent="0.25">
      <c r="A4" s="1" t="s">
        <v>65</v>
      </c>
      <c r="B4" s="1" t="s">
        <v>66</v>
      </c>
      <c r="C4" s="1" t="s">
        <v>15</v>
      </c>
      <c r="D4" s="1" t="s">
        <v>18</v>
      </c>
      <c r="E4" s="1" t="s">
        <v>19</v>
      </c>
      <c r="F4" s="1" t="s">
        <v>51</v>
      </c>
    </row>
    <row r="5" spans="1:8" x14ac:dyDescent="0.25">
      <c r="A5" t="s">
        <v>13</v>
      </c>
      <c r="B5">
        <v>3</v>
      </c>
      <c r="C5" s="3">
        <f>SUMIFS(Raw!$G:$G,Raw!$A:$A,"CP1",Raw!$C:$C,"Trace1",Raw!$D:$D,"permit")/SUMIFS(Raw!$G:$G,Raw!$A:$A,"CP1",Raw!$C:$C,"Trace1",Raw!$D:$D,"discard")</f>
        <v>0.99995716464198214</v>
      </c>
      <c r="D5" s="3">
        <f>SUMIFS(Raw!$G:$G,Raw!$A:$A,"CP1",Raw!$C:$C,"Trace2",Raw!$D:$D,"permit")/SUMIFS(Raw!$G:$G,Raw!$A:$A,"CP1",Raw!$C:$C,"Trace2",Raw!$D:$D,"discard")</f>
        <v>1.0000159197643874</v>
      </c>
      <c r="E5" s="3">
        <f>SUMIFS(Raw!$G:$G,Raw!$A:$A,"CP1",Raw!$C:$C,"Trace3",Raw!$D:$D,"permit")/SUMIFS(Raw!$G:$G,Raw!$A:$A,"CP1",Raw!$C:$C,"Trace3",Raw!$D:$D,"discard")</f>
        <v>1.0000391786074356</v>
      </c>
      <c r="F5" s="6">
        <f>GEOMEAN(C5:E5)</f>
        <v>1.0000040870757405</v>
      </c>
    </row>
    <row r="6" spans="1:8" x14ac:dyDescent="0.25">
      <c r="A6" t="s">
        <v>20</v>
      </c>
      <c r="B6">
        <v>8</v>
      </c>
      <c r="C6" s="3">
        <f>SUMIFS(Raw!$G:$G,Raw!$A:$A,"d8",Raw!$C:$C,"Trace1",Raw!$D:$D,"permit")/SUMIFS(Raw!$G:$G,Raw!$A:$A,"d8",Raw!$C:$C,"Trace1",Raw!$D:$D,"discard")</f>
        <v>0.9998713296790962</v>
      </c>
      <c r="D6" s="3">
        <f>SUMIFS(Raw!$G:$G,Raw!$A:$A,"d8",Raw!$C:$C,"Trace2",Raw!$D:$D,"permit")/SUMIFS(Raw!$G:$G,Raw!$A:$A,"d8",Raw!$C:$C,"Trace2",Raw!$D:$D,"discard")</f>
        <v>0.99946645431017334</v>
      </c>
      <c r="E6" s="3">
        <f>SUMIFS(Raw!$G:$G,Raw!$A:$A,"d8",Raw!$C:$C,"Trace3",Raw!$D:$D,"permit")/SUMIFS(Raw!$G:$G,Raw!$A:$A,"d8",Raw!$C:$C,"Trace3",Raw!$D:$D,"discard")</f>
        <v>0.9998667735960941</v>
      </c>
      <c r="F6" s="6">
        <f>GEOMEAN(C6:E6)</f>
        <v>0.99973483451093503</v>
      </c>
    </row>
    <row r="7" spans="1:8" x14ac:dyDescent="0.25">
      <c r="A7" t="s">
        <v>22</v>
      </c>
      <c r="B7">
        <v>16</v>
      </c>
      <c r="C7" s="3">
        <f>SUMIFS(Raw!$G:$G,Raw!$A:$A,"d16",Raw!$C:$C,"Trace1",Raw!$D:$D,"permit")/SUMIFS(Raw!$G:$G,Raw!$A:$A,"d16",Raw!$C:$C,"Trace1",Raw!$D:$D,"discard")</f>
        <v>0.99941067411138695</v>
      </c>
      <c r="D7" s="3">
        <f>SUMIFS(Raw!$G:$G,Raw!$A:$A,"d16",Raw!$C:$C,"Trace2",Raw!$D:$D,"permit")/SUMIFS(Raw!$G:$G,Raw!$A:$A,"d16",Raw!$C:$C,"Trace2",Raw!$D:$D,"discard")</f>
        <v>0.99945098881688077</v>
      </c>
      <c r="E7" s="3">
        <f>SUMIFS(Raw!$G:$G,Raw!$A:$A,"d16",Raw!$C:$C,"Trace3",Raw!$D:$D,"permit")/SUMIFS(Raw!$G:$G,Raw!$A:$A,"d16",Raw!$C:$C,"Trace3",Raw!$D:$D,"discard")</f>
        <v>0.99926967556842283</v>
      </c>
      <c r="F7" s="6">
        <f>GEOMEAN(C7:E7)</f>
        <v>0.9993771098091272</v>
      </c>
    </row>
    <row r="8" spans="1:8" x14ac:dyDescent="0.25">
      <c r="A8" t="s">
        <v>24</v>
      </c>
      <c r="B8">
        <v>32</v>
      </c>
      <c r="C8" s="3">
        <f>SUMIFS(Raw!$G:$G,Raw!$A:$A,"d32",Raw!$C:$C,"Trace1",Raw!$D:$D,"permit")/SUMIFS(Raw!$G:$G,Raw!$A:$A,"d32",Raw!$C:$C,"Trace1",Raw!$D:$D,"discard")</f>
        <v>0.99941067411138695</v>
      </c>
      <c r="D8" s="3">
        <f>SUMIFS(Raw!$G:$G,Raw!$A:$A,"d32",Raw!$C:$C,"Trace2",Raw!$D:$D,"permit")/SUMIFS(Raw!$G:$G,Raw!$A:$A,"d32",Raw!$C:$C,"Trace2",Raw!$D:$D,"discard")</f>
        <v>0.99945098881688077</v>
      </c>
      <c r="E8" s="3">
        <f>SUMIFS(Raw!$G:$G,Raw!$A:$A,"d32",Raw!$C:$C,"Trace3",Raw!$D:$D,"permit")/SUMIFS(Raw!$G:$G,Raw!$A:$A,"d32",Raw!$C:$C,"Trace3",Raw!$D:$D,"discard")</f>
        <v>0.99926967556842283</v>
      </c>
      <c r="F8" s="6">
        <f>GEOMEAN(C8:E8)</f>
        <v>0.9993771098091272</v>
      </c>
    </row>
    <row r="11" spans="1:8" x14ac:dyDescent="0.25">
      <c r="A11" s="13" t="s">
        <v>106</v>
      </c>
      <c r="B11" s="13"/>
      <c r="C11" s="13"/>
      <c r="D11" s="13"/>
      <c r="E11" s="13"/>
    </row>
    <row r="12" spans="1:8" x14ac:dyDescent="0.25">
      <c r="A12" s="1" t="s">
        <v>65</v>
      </c>
      <c r="B12" s="1" t="s">
        <v>66</v>
      </c>
      <c r="C12" s="1" t="s">
        <v>15</v>
      </c>
      <c r="D12" s="1" t="s">
        <v>18</v>
      </c>
      <c r="E12" s="1" t="s">
        <v>19</v>
      </c>
    </row>
    <row r="13" spans="1:8" x14ac:dyDescent="0.25">
      <c r="A13" t="s">
        <v>13</v>
      </c>
      <c r="B13">
        <v>3</v>
      </c>
      <c r="C13">
        <f>SUMIFS(Raw!$I:$I,Raw!$A:$A,"CP1",Raw!$C:$C,"Trace1",Raw!$D:$D,"permit")</f>
        <v>122</v>
      </c>
      <c r="D13">
        <f>SUMIFS(Raw!$I:$I,Raw!$A:$A,"CP1",Raw!$C:$C,"Trace2",Raw!$D:$D,"permit")</f>
        <v>18</v>
      </c>
      <c r="E13">
        <f>SUMIFS(Raw!$I:$I,Raw!$A:$A,"CP1",Raw!$C:$C,"Trace3",Raw!$D:$D,"permit")</f>
        <v>82</v>
      </c>
    </row>
    <row r="14" spans="1:8" x14ac:dyDescent="0.25">
      <c r="A14" t="s">
        <v>20</v>
      </c>
      <c r="B14">
        <v>8</v>
      </c>
      <c r="C14">
        <f>SUMIFS(Raw!$I:$I,Raw!$A:$A,"d8",Raw!$C:$C,"Trace1",Raw!$D:$D,"permit")</f>
        <v>225</v>
      </c>
      <c r="D14">
        <f>SUMIFS(Raw!$I:$I,Raw!$A:$A,"d8",Raw!$C:$C,"Trace2",Raw!$D:$D,"permit")</f>
        <v>104</v>
      </c>
      <c r="E14">
        <f>SUMIFS(Raw!$I:$I,Raw!$A:$A,"d8",Raw!$C:$C,"Trace3",Raw!$D:$D,"permit")</f>
        <v>216</v>
      </c>
    </row>
    <row r="15" spans="1:8" x14ac:dyDescent="0.25">
      <c r="A15" t="s">
        <v>22</v>
      </c>
      <c r="B15">
        <v>16</v>
      </c>
      <c r="C15">
        <f>SUMIFS(Raw!$I:$I,Raw!$A:$A,"d16",Raw!$C:$C,"Trace1",Raw!$D:$D,"permit")</f>
        <v>286</v>
      </c>
      <c r="D15">
        <f>SUMIFS(Raw!$I:$I,Raw!$A:$A,"d16",Raw!$C:$C,"Trace2",Raw!$D:$D,"permit")</f>
        <v>202</v>
      </c>
      <c r="E15">
        <f>SUMIFS(Raw!$I:$I,Raw!$A:$A,"d16",Raw!$C:$C,"Trace3",Raw!$D:$D,"permit")</f>
        <v>393</v>
      </c>
    </row>
    <row r="16" spans="1:8" x14ac:dyDescent="0.25">
      <c r="A16" t="s">
        <v>24</v>
      </c>
      <c r="B16">
        <v>32</v>
      </c>
      <c r="C16">
        <f>SUMIFS(Raw!$I:$I,Raw!$A:$A,"d32",Raw!$C:$C,"Trace1",Raw!$D:$D,"permit")</f>
        <v>286</v>
      </c>
      <c r="D16">
        <f>SUMIFS(Raw!$I:$I,Raw!$A:$A,"d32",Raw!$C:$C,"Trace2",Raw!$D:$D,"permit")</f>
        <v>202</v>
      </c>
      <c r="E16">
        <f>SUMIFS(Raw!$I:$I,Raw!$A:$A,"d32",Raw!$C:$C,"Trace3",Raw!$D:$D,"permit")</f>
        <v>393</v>
      </c>
    </row>
    <row r="19" spans="1:5" x14ac:dyDescent="0.25">
      <c r="A19" s="13" t="s">
        <v>107</v>
      </c>
      <c r="B19" s="13"/>
      <c r="C19" s="13"/>
      <c r="D19" s="13"/>
      <c r="E19" s="13"/>
    </row>
    <row r="20" spans="1:5" x14ac:dyDescent="0.25">
      <c r="A20" s="1" t="s">
        <v>65</v>
      </c>
      <c r="B20" s="1" t="s">
        <v>66</v>
      </c>
      <c r="C20" s="1" t="s">
        <v>15</v>
      </c>
      <c r="D20" s="1" t="s">
        <v>18</v>
      </c>
      <c r="E20" s="1" t="s">
        <v>19</v>
      </c>
    </row>
    <row r="21" spans="1:5" x14ac:dyDescent="0.25">
      <c r="A21" t="s">
        <v>13</v>
      </c>
      <c r="B21">
        <v>3</v>
      </c>
      <c r="C21" s="2">
        <f>SUMIFS(Raw!$H:$H,Raw!$A:$A,"CP1",Raw!$C:$C,"Trace1",Raw!$D:$D,"permit")-SUMIFS(Raw!$H:$H,Raw!$A:$A,"CP1",Raw!$C:$C,"Trace1",Raw!$D:$D,"discard")</f>
        <v>5.9999999999993392E-4</v>
      </c>
      <c r="D21" s="2">
        <f>SUMIFS(Raw!$H:$H,Raw!$A:$A,"CP1",Raw!$C:$C,"Trace2",Raw!$D:$D,"permit")-SUMIFS(Raw!$H:$H,Raw!$A:$A,"CP1",Raw!$C:$C,"Trace2",Raw!$D:$D,"discard")</f>
        <v>2.8000000000005798E-4</v>
      </c>
      <c r="E21" s="2">
        <f>SUMIFS(Raw!$H:$H,Raw!$A:$A,"CP1",Raw!$C:$C,"Trace3",Raw!$D:$D,"permit")-SUMIFS(Raw!$H:$H,Raw!$A:$A,"CP1",Raw!$C:$C,"Trace3",Raw!$D:$D,"discard")</f>
        <v>2.8800000000001047E-3</v>
      </c>
    </row>
    <row r="22" spans="1:5" x14ac:dyDescent="0.25">
      <c r="A22" t="s">
        <v>20</v>
      </c>
      <c r="B22">
        <v>8</v>
      </c>
      <c r="C22" s="2">
        <f>SUMIFS(Raw!$H:$H,Raw!$A:$A,"d8",Raw!$C:$C,"Trace1",Raw!$D:$D,"permit")-SUMIFS(Raw!$H:$H,Raw!$A:$A,"d8",Raw!$C:$C,"Trace1",Raw!$D:$D,"discard")</f>
        <v>1.4000000000002899E-3</v>
      </c>
      <c r="D22" s="2">
        <f>SUMIFS(Raw!$H:$H,Raw!$A:$A,"d8",Raw!$C:$C,"Trace2",Raw!$D:$D,"permit")-SUMIFS(Raw!$H:$H,Raw!$A:$A,"d8",Raw!$C:$C,"Trace2",Raw!$D:$D,"discard")</f>
        <v>8.9200000000002611E-3</v>
      </c>
      <c r="E22" s="2">
        <f>SUMIFS(Raw!$H:$H,Raw!$A:$A,"d8",Raw!$C:$C,"Trace3",Raw!$D:$D,"permit")-SUMIFS(Raw!$H:$H,Raw!$A:$A,"d8",Raw!$C:$C,"Trace3",Raw!$D:$D,"discard")</f>
        <v>7.6800000000000201E-3</v>
      </c>
    </row>
    <row r="23" spans="1:5" x14ac:dyDescent="0.25">
      <c r="A23" t="s">
        <v>22</v>
      </c>
      <c r="B23">
        <v>16</v>
      </c>
      <c r="C23" s="2">
        <f>SUMIFS(Raw!$H:$H,Raw!$A:$A,"d16",Raw!$C:$C,"Trace1",Raw!$D:$D,"permit")-SUMIFS(Raw!$H:$H,Raw!$A:$A,"d16",Raw!$C:$C,"Trace1",Raw!$D:$D,"discard")</f>
        <v>3.6399999999998656E-3</v>
      </c>
      <c r="D23" s="2">
        <f>SUMIFS(Raw!$H:$H,Raw!$A:$A,"d16",Raw!$C:$C,"Trace2",Raw!$D:$D,"permit")-SUMIFS(Raw!$H:$H,Raw!$A:$A,"d16",Raw!$C:$C,"Trace2",Raw!$D:$D,"discard")</f>
        <v>1.0480000000000267E-2</v>
      </c>
      <c r="E23" s="2">
        <f>SUMIFS(Raw!$H:$H,Raw!$A:$A,"d16",Raw!$C:$C,"Trace3",Raw!$D:$D,"permit")-SUMIFS(Raw!$H:$H,Raw!$A:$A,"d16",Raw!$C:$C,"Trace3",Raw!$D:$D,"discard")</f>
        <v>1.4440000000000008E-2</v>
      </c>
    </row>
    <row r="24" spans="1:5" x14ac:dyDescent="0.25">
      <c r="A24" t="s">
        <v>24</v>
      </c>
      <c r="B24">
        <v>32</v>
      </c>
      <c r="C24" s="2">
        <f>SUMIFS(Raw!$H:$H,Raw!$A:$A,"d32",Raw!$C:$C,"Trace1",Raw!$D:$D,"permit")-SUMIFS(Raw!$H:$H,Raw!$A:$A,"d32",Raw!$C:$C,"Trace1",Raw!$D:$D,"discard")</f>
        <v>3.6399999999998656E-3</v>
      </c>
      <c r="D24" s="2">
        <f>SUMIFS(Raw!$H:$H,Raw!$A:$A,"d32",Raw!$C:$C,"Trace2",Raw!$D:$D,"permit")-SUMIFS(Raw!$H:$H,Raw!$A:$A,"d32",Raw!$C:$C,"Trace2",Raw!$D:$D,"discard")</f>
        <v>1.0480000000000267E-2</v>
      </c>
      <c r="E24" s="2">
        <f>SUMIFS(Raw!$H:$H,Raw!$A:$A,"d32",Raw!$C:$C,"Trace3",Raw!$D:$D,"permit")-SUMIFS(Raw!$H:$H,Raw!$A:$A,"d32",Raw!$C:$C,"Trace3",Raw!$D:$D,"discard")</f>
        <v>1.4440000000000008E-2</v>
      </c>
    </row>
    <row r="27" spans="1:5" x14ac:dyDescent="0.25">
      <c r="A27" s="1" t="s">
        <v>59</v>
      </c>
    </row>
    <row r="28" spans="1:5" x14ac:dyDescent="0.25">
      <c r="A28" t="s">
        <v>67</v>
      </c>
    </row>
    <row r="29" spans="1:5" x14ac:dyDescent="0.25">
      <c r="A29" t="s">
        <v>68</v>
      </c>
    </row>
    <row r="30" spans="1:5" x14ac:dyDescent="0.25">
      <c r="A30" t="s">
        <v>69</v>
      </c>
    </row>
    <row r="31" spans="1:5" x14ac:dyDescent="0.25">
      <c r="A31" t="s">
        <v>70</v>
      </c>
    </row>
    <row r="32" spans="1:5" x14ac:dyDescent="0.25">
      <c r="A32" t="s">
        <v>71</v>
      </c>
    </row>
  </sheetData>
  <mergeCells count="4">
    <mergeCell ref="A1:H1"/>
    <mergeCell ref="A3:E3"/>
    <mergeCell ref="A11:E11"/>
    <mergeCell ref="A19:E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topLeftCell="J1" zoomScaleNormal="100" workbookViewId="0">
      <selection activeCell="D7" sqref="D7"/>
    </sheetView>
  </sheetViews>
  <sheetFormatPr defaultColWidth="8.7109375" defaultRowHeight="15" x14ac:dyDescent="0.25"/>
  <cols>
    <col min="1" max="1" width="22" customWidth="1"/>
    <col min="2" max="2" width="12" customWidth="1"/>
    <col min="3" max="3" width="11" customWidth="1"/>
    <col min="4" max="4" width="26" customWidth="1"/>
    <col min="5" max="5" width="18" customWidth="1"/>
    <col min="6" max="6" width="17" customWidth="1"/>
    <col min="7" max="7" width="33" customWidth="1"/>
    <col min="8" max="8" width="27" customWidth="1"/>
    <col min="9" max="9" width="19" customWidth="1"/>
    <col min="10" max="10" width="20" customWidth="1"/>
  </cols>
  <sheetData>
    <row r="1" spans="1:10" x14ac:dyDescent="0.25">
      <c r="A1" s="13" t="s">
        <v>72</v>
      </c>
      <c r="B1" s="13"/>
      <c r="C1" s="13"/>
      <c r="D1" s="13"/>
      <c r="E1" s="13"/>
    </row>
    <row r="3" spans="1:10" x14ac:dyDescent="0.25">
      <c r="A3" s="1" t="s">
        <v>73</v>
      </c>
    </row>
    <row r="4" spans="1:10" x14ac:dyDescent="0.25">
      <c r="A4" s="1" t="s">
        <v>2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54</v>
      </c>
      <c r="H4" s="1" t="s">
        <v>53</v>
      </c>
      <c r="I4" s="1" t="s">
        <v>56</v>
      </c>
      <c r="J4" s="1" t="s">
        <v>57</v>
      </c>
    </row>
    <row r="5" spans="1:10" x14ac:dyDescent="0.25">
      <c r="A5" t="s">
        <v>30</v>
      </c>
      <c r="B5" s="2">
        <f>SUMIFS(Raw!$G:$G,Raw!$A:$A,"s17_d3",Raw!$C:$C,$A5,Raw!$D:$D,"discard")</f>
        <v>0.18957399999999999</v>
      </c>
      <c r="C5" s="2">
        <f>SUMIFS(Raw!$G:$G,Raw!$A:$A,"s17_d3",Raw!$C:$C,$A5,Raw!$D:$D,"permit")</f>
        <v>0.18962100000000001</v>
      </c>
      <c r="D5" s="3">
        <f t="shared" ref="D5:D16" si="0">C5/B5</f>
        <v>1.0002479242934159</v>
      </c>
      <c r="E5" s="4">
        <f>SUMIFS(Raw!$H:$H,Raw!$A:$A,"s17_d3",Raw!$C:$C,$A5,Raw!$D:$D,"discard")</f>
        <v>9.4732800000000008</v>
      </c>
      <c r="F5" s="4">
        <f>SUMIFS(Raw!$H:$H,Raw!$A:$A,"s17_d3",Raw!$C:$C,$A5,Raw!$D:$D,"permit")</f>
        <v>9.4739599999999999</v>
      </c>
      <c r="G5">
        <f>SUMIFS(Raw!$I:$I,Raw!$A:$A,"s17_d3",Raw!$C:$C,$A5,Raw!$D:$D,"permit")</f>
        <v>419</v>
      </c>
      <c r="H5">
        <f>SUMIFS(Raw!$J:$J,Raw!$A:$A,"s17_d3",Raw!$C:$C,$A5,Raw!$D:$D,"permit")</f>
        <v>18686</v>
      </c>
      <c r="I5">
        <f>SUMIFS(Raw!$K:$K,Raw!$A:$A,"s17_d3",Raw!$C:$C,$A5,Raw!$D:$D,"permit")-SUMIFS(Raw!$K:$K,Raw!$A:$A,"s17_d3",Raw!$C:$C,$A5,Raw!$D:$D,"discard")</f>
        <v>750</v>
      </c>
      <c r="J5">
        <f>SUMIFS(Raw!$L:$L,Raw!$A:$A,"s17_d3",Raw!$C:$C,$A5,Raw!$D:$D,"permit")-SUMIFS(Raw!$L:$L,Raw!$A:$A,"s17_d3",Raw!$C:$C,$A5,Raw!$D:$D,"discard")</f>
        <v>1013</v>
      </c>
    </row>
    <row r="6" spans="1:10" x14ac:dyDescent="0.25">
      <c r="A6" t="s">
        <v>32</v>
      </c>
      <c r="B6" s="2">
        <f>SUMIFS(Raw!$G:$G,Raw!$A:$A,"s17_d3",Raw!$C:$C,$A6,Raw!$D:$D,"discard")</f>
        <v>0.27402300000000002</v>
      </c>
      <c r="C6" s="2">
        <f>SUMIFS(Raw!$G:$G,Raw!$A:$A,"s17_d3",Raw!$C:$C,$A6,Raw!$D:$D,"permit")</f>
        <v>0.27422299999999999</v>
      </c>
      <c r="D6" s="3">
        <f t="shared" si="0"/>
        <v>1.0007298657411969</v>
      </c>
      <c r="E6" s="4">
        <f>SUMIFS(Raw!$H:$H,Raw!$A:$A,"s17_d3",Raw!$C:$C,$A6,Raw!$D:$D,"discard")</f>
        <v>5.0762</v>
      </c>
      <c r="F6" s="4">
        <f>SUMIFS(Raw!$H:$H,Raw!$A:$A,"s17_d3",Raw!$C:$C,$A6,Raw!$D:$D,"permit")</f>
        <v>5.0763999999999996</v>
      </c>
      <c r="G6">
        <f>SUMIFS(Raw!$I:$I,Raw!$A:$A,"s17_d3",Raw!$C:$C,$A6,Raw!$D:$D,"permit")</f>
        <v>916</v>
      </c>
      <c r="H6">
        <f>SUMIFS(Raw!$J:$J,Raw!$A:$A,"s17_d3",Raw!$C:$C,$A6,Raw!$D:$D,"permit")</f>
        <v>9043</v>
      </c>
      <c r="I6">
        <f>SUMIFS(Raw!$K:$K,Raw!$A:$A,"s17_d3",Raw!$C:$C,$A6,Raw!$D:$D,"permit")-SUMIFS(Raw!$K:$K,Raw!$A:$A,"s17_d3",Raw!$C:$C,$A6,Raw!$D:$D,"discard")</f>
        <v>944</v>
      </c>
      <c r="J6">
        <f>SUMIFS(Raw!$L:$L,Raw!$A:$A,"s17_d3",Raw!$C:$C,$A6,Raw!$D:$D,"permit")-SUMIFS(Raw!$L:$L,Raw!$A:$A,"s17_d3",Raw!$C:$C,$A6,Raw!$D:$D,"discard")</f>
        <v>2415</v>
      </c>
    </row>
    <row r="7" spans="1:10" x14ac:dyDescent="0.25">
      <c r="A7" t="s">
        <v>43</v>
      </c>
      <c r="B7" s="2">
        <f>SUMIFS(Raw!$G:$G,Raw!$A:$A,"s17_d3",Raw!$C:$C,$A7,Raw!$D:$D,"discard")</f>
        <v>0.21929000000000001</v>
      </c>
      <c r="C7" s="2">
        <f>SUMIFS(Raw!$G:$G,Raw!$A:$A,"s17_d3",Raw!$C:$C,$A7,Raw!$D:$D,"permit")</f>
        <v>0.21929399999999999</v>
      </c>
      <c r="D7" s="3">
        <f t="shared" si="0"/>
        <v>1.0000182406858498</v>
      </c>
      <c r="E7" s="4">
        <f>SUMIFS(Raw!$H:$H,Raw!$A:$A,"s17_d3",Raw!$C:$C,$A7,Raw!$D:$D,"discard")</f>
        <v>4.94916</v>
      </c>
      <c r="F7" s="4">
        <f>SUMIFS(Raw!$H:$H,Raw!$A:$A,"s17_d3",Raw!$C:$C,$A7,Raw!$D:$D,"permit")</f>
        <v>4.9552800000000001</v>
      </c>
      <c r="G7">
        <f>SUMIFS(Raw!$I:$I,Raw!$A:$A,"s17_d3",Raw!$C:$C,$A7,Raw!$D:$D,"permit")</f>
        <v>171</v>
      </c>
      <c r="H7">
        <f>SUMIFS(Raw!$J:$J,Raw!$A:$A,"s17_d3",Raw!$C:$C,$A7,Raw!$D:$D,"permit")</f>
        <v>1968</v>
      </c>
      <c r="I7">
        <f>SUMIFS(Raw!$K:$K,Raw!$A:$A,"s17_d3",Raw!$C:$C,$A7,Raw!$D:$D,"permit")-SUMIFS(Raw!$K:$K,Raw!$A:$A,"s17_d3",Raw!$C:$C,$A7,Raw!$D:$D,"discard")</f>
        <v>75</v>
      </c>
      <c r="J7">
        <f>SUMIFS(Raw!$L:$L,Raw!$A:$A,"s17_d3",Raw!$C:$C,$A7,Raw!$D:$D,"permit")-SUMIFS(Raw!$L:$L,Raw!$A:$A,"s17_d3",Raw!$C:$C,$A7,Raw!$D:$D,"discard")</f>
        <v>875</v>
      </c>
    </row>
    <row r="8" spans="1:10" x14ac:dyDescent="0.25">
      <c r="A8" t="s">
        <v>31</v>
      </c>
      <c r="B8" s="2">
        <f>SUMIFS(Raw!$G:$G,Raw!$A:$A,"s17_d3",Raw!$C:$C,$A8,Raw!$D:$D,"discard")</f>
        <v>0.227718</v>
      </c>
      <c r="C8" s="2">
        <f>SUMIFS(Raw!$G:$G,Raw!$A:$A,"s17_d3",Raw!$C:$C,$A8,Raw!$D:$D,"permit")</f>
        <v>0.22770699999999999</v>
      </c>
      <c r="D8" s="3">
        <f t="shared" si="0"/>
        <v>0.99995169463986155</v>
      </c>
      <c r="E8" s="4">
        <f>SUMIFS(Raw!$H:$H,Raw!$A:$A,"s17_d3",Raw!$C:$C,$A8,Raw!$D:$D,"discard")</f>
        <v>4.4102399999999999</v>
      </c>
      <c r="F8" s="4">
        <f>SUMIFS(Raw!$H:$H,Raw!$A:$A,"s17_d3",Raw!$C:$C,$A8,Raw!$D:$D,"permit")</f>
        <v>4.4263599999999999</v>
      </c>
      <c r="G8">
        <f>SUMIFS(Raw!$I:$I,Raw!$A:$A,"s17_d3",Raw!$C:$C,$A8,Raw!$D:$D,"permit")</f>
        <v>471</v>
      </c>
      <c r="H8">
        <f>SUMIFS(Raw!$J:$J,Raw!$A:$A,"s17_d3",Raw!$C:$C,$A8,Raw!$D:$D,"permit")</f>
        <v>5206</v>
      </c>
      <c r="I8">
        <f>SUMIFS(Raw!$K:$K,Raw!$A:$A,"s17_d3",Raw!$C:$C,$A8,Raw!$D:$D,"permit")-SUMIFS(Raw!$K:$K,Raw!$A:$A,"s17_d3",Raw!$C:$C,$A8,Raw!$D:$D,"discard")</f>
        <v>180</v>
      </c>
      <c r="J8">
        <f>SUMIFS(Raw!$L:$L,Raw!$A:$A,"s17_d3",Raw!$C:$C,$A8,Raw!$D:$D,"permit")-SUMIFS(Raw!$L:$L,Raw!$A:$A,"s17_d3",Raw!$C:$C,$A8,Raw!$D:$D,"discard")</f>
        <v>1440</v>
      </c>
    </row>
    <row r="9" spans="1:10" x14ac:dyDescent="0.25">
      <c r="A9" t="s">
        <v>38</v>
      </c>
      <c r="B9" s="2">
        <f>SUMIFS(Raw!$G:$G,Raw!$A:$A,"s17_d3",Raw!$C:$C,$A9,Raw!$D:$D,"discard")</f>
        <v>0.343443</v>
      </c>
      <c r="C9" s="2">
        <f>SUMIFS(Raw!$G:$G,Raw!$A:$A,"s17_d3",Raw!$C:$C,$A9,Raw!$D:$D,"permit")</f>
        <v>0.34343600000000002</v>
      </c>
      <c r="D9" s="3">
        <f t="shared" si="0"/>
        <v>0.99997961816080116</v>
      </c>
      <c r="E9" s="4">
        <f>SUMIFS(Raw!$H:$H,Raw!$A:$A,"s17_d3",Raw!$C:$C,$A9,Raw!$D:$D,"discard")</f>
        <v>1.37856</v>
      </c>
      <c r="F9" s="4">
        <f>SUMIFS(Raw!$H:$H,Raw!$A:$A,"s17_d3",Raw!$C:$C,$A9,Raw!$D:$D,"permit")</f>
        <v>1.37764</v>
      </c>
      <c r="G9">
        <f>SUMIFS(Raw!$I:$I,Raw!$A:$A,"s17_d3",Raw!$C:$C,$A9,Raw!$D:$D,"permit")</f>
        <v>382</v>
      </c>
      <c r="H9">
        <f>SUMIFS(Raw!$J:$J,Raw!$A:$A,"s17_d3",Raw!$C:$C,$A9,Raw!$D:$D,"permit")</f>
        <v>145178</v>
      </c>
      <c r="I9">
        <f>SUMIFS(Raw!$K:$K,Raw!$A:$A,"s17_d3",Raw!$C:$C,$A9,Raw!$D:$D,"permit")-SUMIFS(Raw!$K:$K,Raw!$A:$A,"s17_d3",Raw!$C:$C,$A9,Raw!$D:$D,"discard")</f>
        <v>2412</v>
      </c>
      <c r="J9">
        <f>SUMIFS(Raw!$L:$L,Raw!$A:$A,"s17_d3",Raw!$C:$C,$A9,Raw!$D:$D,"permit")-SUMIFS(Raw!$L:$L,Raw!$A:$A,"s17_d3",Raw!$C:$C,$A9,Raw!$D:$D,"discard")</f>
        <v>1081</v>
      </c>
    </row>
    <row r="10" spans="1:10" x14ac:dyDescent="0.25">
      <c r="A10" t="s">
        <v>29</v>
      </c>
      <c r="B10" s="2">
        <f>SUMIFS(Raw!$G:$G,Raw!$A:$A,"s17_d3",Raw!$C:$C,$A10,Raw!$D:$D,"discard")</f>
        <v>0.31043700000000002</v>
      </c>
      <c r="C10" s="2">
        <f>SUMIFS(Raw!$G:$G,Raw!$A:$A,"s17_d3",Raw!$C:$C,$A10,Raw!$D:$D,"permit")</f>
        <v>0.31425399999999998</v>
      </c>
      <c r="D10" s="3">
        <f t="shared" si="0"/>
        <v>1.0122955704378021</v>
      </c>
      <c r="E10" s="4">
        <f>SUMIFS(Raw!$H:$H,Raw!$A:$A,"s17_d3",Raw!$C:$C,$A10,Raw!$D:$D,"discard")</f>
        <v>1.23708</v>
      </c>
      <c r="F10" s="4">
        <f>SUMIFS(Raw!$H:$H,Raw!$A:$A,"s17_d3",Raw!$C:$C,$A10,Raw!$D:$D,"permit")</f>
        <v>1.2369600000000001</v>
      </c>
      <c r="G10">
        <f>SUMIFS(Raw!$I:$I,Raw!$A:$A,"s17_d3",Raw!$C:$C,$A10,Raw!$D:$D,"permit")</f>
        <v>13988</v>
      </c>
      <c r="H10">
        <f>SUMIFS(Raw!$J:$J,Raw!$A:$A,"s17_d3",Raw!$C:$C,$A10,Raw!$D:$D,"permit")</f>
        <v>150427</v>
      </c>
      <c r="I10">
        <f>SUMIFS(Raw!$K:$K,Raw!$A:$A,"s17_d3",Raw!$C:$C,$A10,Raw!$D:$D,"permit")-SUMIFS(Raw!$K:$K,Raw!$A:$A,"s17_d3",Raw!$C:$C,$A10,Raw!$D:$D,"discard")</f>
        <v>9055</v>
      </c>
      <c r="J10">
        <f>SUMIFS(Raw!$L:$L,Raw!$A:$A,"s17_d3",Raw!$C:$C,$A10,Raw!$D:$D,"permit")-SUMIFS(Raw!$L:$L,Raw!$A:$A,"s17_d3",Raw!$C:$C,$A10,Raw!$D:$D,"discard")</f>
        <v>9229</v>
      </c>
    </row>
    <row r="11" spans="1:10" x14ac:dyDescent="0.25">
      <c r="A11" t="s">
        <v>28</v>
      </c>
      <c r="B11" s="2">
        <f>SUMIFS(Raw!$G:$G,Raw!$A:$A,"s17_d3",Raw!$C:$C,$A11,Raw!$D:$D,"discard")</f>
        <v>0.20916999999999999</v>
      </c>
      <c r="C11" s="2">
        <f>SUMIFS(Raw!$G:$G,Raw!$A:$A,"s17_d3",Raw!$C:$C,$A11,Raw!$D:$D,"permit")</f>
        <v>0.211647</v>
      </c>
      <c r="D11" s="3">
        <f t="shared" si="0"/>
        <v>1.0118420423578907</v>
      </c>
      <c r="E11" s="4">
        <f>SUMIFS(Raw!$H:$H,Raw!$A:$A,"s17_d3",Raw!$C:$C,$A11,Raw!$D:$D,"discard")</f>
        <v>8.6800000000000002E-2</v>
      </c>
      <c r="F11" s="4">
        <f>SUMIFS(Raw!$H:$H,Raw!$A:$A,"s17_d3",Raw!$C:$C,$A11,Raw!$D:$D,"permit")</f>
        <v>8.6800000000000002E-2</v>
      </c>
      <c r="G11">
        <f>SUMIFS(Raw!$I:$I,Raw!$A:$A,"s17_d3",Raw!$C:$C,$A11,Raw!$D:$D,"permit")</f>
        <v>3</v>
      </c>
      <c r="H11">
        <f>SUMIFS(Raw!$J:$J,Raw!$A:$A,"s17_d3",Raw!$C:$C,$A11,Raw!$D:$D,"permit")</f>
        <v>492785</v>
      </c>
      <c r="I11">
        <f>SUMIFS(Raw!$K:$K,Raw!$A:$A,"s17_d3",Raw!$C:$C,$A11,Raw!$D:$D,"permit")-SUMIFS(Raw!$K:$K,Raw!$A:$A,"s17_d3",Raw!$C:$C,$A11,Raw!$D:$D,"discard")</f>
        <v>37393</v>
      </c>
      <c r="J11">
        <f>SUMIFS(Raw!$L:$L,Raw!$A:$A,"s17_d3",Raw!$C:$C,$A11,Raw!$D:$D,"permit")-SUMIFS(Raw!$L:$L,Raw!$A:$A,"s17_d3",Raw!$C:$C,$A11,Raw!$D:$D,"discard")</f>
        <v>33487</v>
      </c>
    </row>
    <row r="12" spans="1:10" x14ac:dyDescent="0.25">
      <c r="A12" t="s">
        <v>41</v>
      </c>
      <c r="B12" s="2">
        <f>SUMIFS(Raw!$G:$G,Raw!$A:$A,"s17_d3",Raw!$C:$C,$A12,Raw!$D:$D,"discard")</f>
        <v>0.416076</v>
      </c>
      <c r="C12" s="2">
        <f>SUMIFS(Raw!$G:$G,Raw!$A:$A,"s17_d3",Raw!$C:$C,$A12,Raw!$D:$D,"permit")</f>
        <v>0.417827</v>
      </c>
      <c r="D12" s="3">
        <f t="shared" si="0"/>
        <v>1.0042083657793288</v>
      </c>
      <c r="E12" s="4">
        <f>SUMIFS(Raw!$H:$H,Raw!$A:$A,"s17_d3",Raw!$C:$C,$A12,Raw!$D:$D,"discard")</f>
        <v>0.20763999999999999</v>
      </c>
      <c r="F12" s="4">
        <f>SUMIFS(Raw!$H:$H,Raw!$A:$A,"s17_d3",Raw!$C:$C,$A12,Raw!$D:$D,"permit")</f>
        <v>0.20768</v>
      </c>
      <c r="G12">
        <f>SUMIFS(Raw!$I:$I,Raw!$A:$A,"s17_d3",Raw!$C:$C,$A12,Raw!$D:$D,"permit")</f>
        <v>2409</v>
      </c>
      <c r="H12">
        <f>SUMIFS(Raw!$J:$J,Raw!$A:$A,"s17_d3",Raw!$C:$C,$A12,Raw!$D:$D,"permit")</f>
        <v>237144</v>
      </c>
      <c r="I12">
        <f>SUMIFS(Raw!$K:$K,Raw!$A:$A,"s17_d3",Raw!$C:$C,$A12,Raw!$D:$D,"permit")-SUMIFS(Raw!$K:$K,Raw!$A:$A,"s17_d3",Raw!$C:$C,$A12,Raw!$D:$D,"discard")</f>
        <v>6144</v>
      </c>
      <c r="J12">
        <f>SUMIFS(Raw!$L:$L,Raw!$A:$A,"s17_d3",Raw!$C:$C,$A12,Raw!$D:$D,"permit")-SUMIFS(Raw!$L:$L,Raw!$A:$A,"s17_d3",Raw!$C:$C,$A12,Raw!$D:$D,"discard")</f>
        <v>41</v>
      </c>
    </row>
    <row r="13" spans="1:10" x14ac:dyDescent="0.25">
      <c r="A13" t="s">
        <v>33</v>
      </c>
      <c r="B13" s="2">
        <f>SUMIFS(Raw!$G:$G,Raw!$A:$A,"s17_d3",Raw!$C:$C,$A13,Raw!$D:$D,"discard")</f>
        <v>1.0000500000000001</v>
      </c>
      <c r="C13" s="2">
        <f>SUMIFS(Raw!$G:$G,Raw!$A:$A,"s17_d3",Raw!$C:$C,$A13,Raw!$D:$D,"permit")</f>
        <v>1.0034000000000001</v>
      </c>
      <c r="D13" s="3">
        <f t="shared" si="0"/>
        <v>1.0033498325083745</v>
      </c>
      <c r="E13" s="4">
        <f>SUMIFS(Raw!$H:$H,Raw!$A:$A,"s17_d3",Raw!$C:$C,$A13,Raw!$D:$D,"discard")</f>
        <v>0.13744000000000001</v>
      </c>
      <c r="F13" s="4">
        <f>SUMIFS(Raw!$H:$H,Raw!$A:$A,"s17_d3",Raw!$C:$C,$A13,Raw!$D:$D,"permit")</f>
        <v>0.13744000000000001</v>
      </c>
      <c r="G13">
        <f>SUMIFS(Raw!$I:$I,Raw!$A:$A,"s17_d3",Raw!$C:$C,$A13,Raw!$D:$D,"permit")</f>
        <v>0</v>
      </c>
      <c r="H13">
        <f>SUMIFS(Raw!$J:$J,Raw!$A:$A,"s17_d3",Raw!$C:$C,$A13,Raw!$D:$D,"permit")</f>
        <v>130858</v>
      </c>
      <c r="I13">
        <f>SUMIFS(Raw!$K:$K,Raw!$A:$A,"s17_d3",Raw!$C:$C,$A13,Raw!$D:$D,"permit")-SUMIFS(Raw!$K:$K,Raw!$A:$A,"s17_d3",Raw!$C:$C,$A13,Raw!$D:$D,"discard")</f>
        <v>2199</v>
      </c>
      <c r="J13">
        <f>SUMIFS(Raw!$L:$L,Raw!$A:$A,"s17_d3",Raw!$C:$C,$A13,Raw!$D:$D,"permit")-SUMIFS(Raw!$L:$L,Raw!$A:$A,"s17_d3",Raw!$C:$C,$A13,Raw!$D:$D,"discard")</f>
        <v>142</v>
      </c>
    </row>
    <row r="14" spans="1:10" x14ac:dyDescent="0.25">
      <c r="A14" t="s">
        <v>37</v>
      </c>
      <c r="B14" s="2">
        <f>SUMIFS(Raw!$G:$G,Raw!$A:$A,"s17_d3",Raw!$C:$C,$A14,Raw!$D:$D,"discard")</f>
        <v>0.44702500000000001</v>
      </c>
      <c r="C14" s="2">
        <f>SUMIFS(Raw!$G:$G,Raw!$A:$A,"s17_d3",Raw!$C:$C,$A14,Raw!$D:$D,"permit")</f>
        <v>0.44781599999999999</v>
      </c>
      <c r="D14" s="3">
        <f t="shared" si="0"/>
        <v>1.0017694759800906</v>
      </c>
      <c r="E14" s="4">
        <f>SUMIFS(Raw!$H:$H,Raw!$A:$A,"s17_d3",Raw!$C:$C,$A14,Raw!$D:$D,"discard")</f>
        <v>0.73616000000000004</v>
      </c>
      <c r="F14" s="4">
        <f>SUMIFS(Raw!$H:$H,Raw!$A:$A,"s17_d3",Raw!$C:$C,$A14,Raw!$D:$D,"permit")</f>
        <v>0.73616000000000004</v>
      </c>
      <c r="G14">
        <f>SUMIFS(Raw!$I:$I,Raw!$A:$A,"s17_d3",Raw!$C:$C,$A14,Raw!$D:$D,"permit")</f>
        <v>0</v>
      </c>
      <c r="H14">
        <f>SUMIFS(Raw!$J:$J,Raw!$A:$A,"s17_d3",Raw!$C:$C,$A14,Raw!$D:$D,"permit")</f>
        <v>68454</v>
      </c>
      <c r="I14">
        <f>SUMIFS(Raw!$K:$K,Raw!$A:$A,"s17_d3",Raw!$C:$C,$A14,Raw!$D:$D,"permit")-SUMIFS(Raw!$K:$K,Raw!$A:$A,"s17_d3",Raw!$C:$C,$A14,Raw!$D:$D,"discard")</f>
        <v>-68</v>
      </c>
      <c r="J14">
        <f>SUMIFS(Raw!$L:$L,Raw!$A:$A,"s17_d3",Raw!$C:$C,$A14,Raw!$D:$D,"permit")-SUMIFS(Raw!$L:$L,Raw!$A:$A,"s17_d3",Raw!$C:$C,$A14,Raw!$D:$D,"discard")</f>
        <v>0</v>
      </c>
    </row>
    <row r="15" spans="1:10" x14ac:dyDescent="0.25">
      <c r="A15" t="s">
        <v>39</v>
      </c>
      <c r="B15" s="2">
        <f>SUMIFS(Raw!$G:$G,Raw!$A:$A,"s17_d3",Raw!$C:$C,$A15,Raw!$D:$D,"discard")</f>
        <v>0.70695300000000005</v>
      </c>
      <c r="C15" s="2">
        <f>SUMIFS(Raw!$G:$G,Raw!$A:$A,"s17_d3",Raw!$C:$C,$A15,Raw!$D:$D,"permit")</f>
        <v>0.70695300000000005</v>
      </c>
      <c r="D15" s="3">
        <f t="shared" si="0"/>
        <v>1</v>
      </c>
      <c r="E15" s="4">
        <f>SUMIFS(Raw!$H:$H,Raw!$A:$A,"s17_d3",Raw!$C:$C,$A15,Raw!$D:$D,"discard")</f>
        <v>7.0400000000000003E-3</v>
      </c>
      <c r="F15" s="4">
        <f>SUMIFS(Raw!$H:$H,Raw!$A:$A,"s17_d3",Raw!$C:$C,$A15,Raw!$D:$D,"permit")</f>
        <v>7.0400000000000003E-3</v>
      </c>
      <c r="G15">
        <f>SUMIFS(Raw!$I:$I,Raw!$A:$A,"s17_d3",Raw!$C:$C,$A15,Raw!$D:$D,"permit")</f>
        <v>0</v>
      </c>
      <c r="H15">
        <f>SUMIFS(Raw!$J:$J,Raw!$A:$A,"s17_d3",Raw!$C:$C,$A15,Raw!$D:$D,"permit")</f>
        <v>335</v>
      </c>
      <c r="I15">
        <f>SUMIFS(Raw!$K:$K,Raw!$A:$A,"s17_d3",Raw!$C:$C,$A15,Raw!$D:$D,"permit")-SUMIFS(Raw!$K:$K,Raw!$A:$A,"s17_d3",Raw!$C:$C,$A15,Raw!$D:$D,"discard")</f>
        <v>0</v>
      </c>
      <c r="J15">
        <f>SUMIFS(Raw!$L:$L,Raw!$A:$A,"s17_d3",Raw!$C:$C,$A15,Raw!$D:$D,"permit")-SUMIFS(Raw!$L:$L,Raw!$A:$A,"s17_d3",Raw!$C:$C,$A15,Raw!$D:$D,"discard")</f>
        <v>0</v>
      </c>
    </row>
    <row r="16" spans="1:10" x14ac:dyDescent="0.25">
      <c r="A16" t="s">
        <v>42</v>
      </c>
      <c r="B16" s="2">
        <f>SUMIFS(Raw!$G:$G,Raw!$A:$A,"s17_d3",Raw!$C:$C,$A16,Raw!$D:$D,"discard")</f>
        <v>0.85338499999999995</v>
      </c>
      <c r="C16" s="2">
        <f>SUMIFS(Raw!$G:$G,Raw!$A:$A,"s17_d3",Raw!$C:$C,$A16,Raw!$D:$D,"permit")</f>
        <v>0.85338499999999995</v>
      </c>
      <c r="D16" s="3">
        <f t="shared" si="0"/>
        <v>1</v>
      </c>
      <c r="E16" s="4">
        <f>SUMIFS(Raw!$H:$H,Raw!$A:$A,"s17_d3",Raw!$C:$C,$A16,Raw!$D:$D,"discard")</f>
        <v>4.0719999999999999E-2</v>
      </c>
      <c r="F16" s="4">
        <f>SUMIFS(Raw!$H:$H,Raw!$A:$A,"s17_d3",Raw!$C:$C,$A16,Raw!$D:$D,"permit")</f>
        <v>4.0719999999999999E-2</v>
      </c>
      <c r="G16">
        <f>SUMIFS(Raw!$I:$I,Raw!$A:$A,"s17_d3",Raw!$C:$C,$A16,Raw!$D:$D,"permit")</f>
        <v>0</v>
      </c>
      <c r="H16">
        <f>SUMIFS(Raw!$J:$J,Raw!$A:$A,"s17_d3",Raw!$C:$C,$A16,Raw!$D:$D,"permit")</f>
        <v>0</v>
      </c>
      <c r="I16">
        <f>SUMIFS(Raw!$K:$K,Raw!$A:$A,"s17_d3",Raw!$C:$C,$A16,Raw!$D:$D,"permit")-SUMIFS(Raw!$K:$K,Raw!$A:$A,"s17_d3",Raw!$C:$C,$A16,Raw!$D:$D,"discard")</f>
        <v>0</v>
      </c>
      <c r="J16">
        <f>SUMIFS(Raw!$L:$L,Raw!$A:$A,"s17_d3",Raw!$C:$C,$A16,Raw!$D:$D,"permit")-SUMIFS(Raw!$L:$L,Raw!$A:$A,"s17_d3",Raw!$C:$C,$A16,Raw!$D:$D,"discard")</f>
        <v>0</v>
      </c>
    </row>
    <row r="17" spans="1:10" x14ac:dyDescent="0.25">
      <c r="A17" s="1" t="s">
        <v>51</v>
      </c>
      <c r="B17" s="5"/>
      <c r="C17" s="5"/>
      <c r="D17" s="6">
        <f>GEOMEAN(D5:D16)</f>
        <v>1.0028567222558511</v>
      </c>
      <c r="E17" s="7"/>
      <c r="F17" s="7"/>
      <c r="G17" s="1"/>
      <c r="H17" s="1"/>
      <c r="I17" s="1"/>
      <c r="J17" s="1"/>
    </row>
    <row r="20" spans="1:10" x14ac:dyDescent="0.25">
      <c r="A20" s="1" t="s">
        <v>74</v>
      </c>
    </row>
    <row r="21" spans="1:10" x14ac:dyDescent="0.25">
      <c r="A21" s="1" t="s">
        <v>2</v>
      </c>
      <c r="B21" s="1" t="s">
        <v>46</v>
      </c>
      <c r="C21" s="1" t="s">
        <v>47</v>
      </c>
      <c r="D21" s="1" t="s">
        <v>48</v>
      </c>
      <c r="E21" s="1" t="s">
        <v>49</v>
      </c>
      <c r="F21" s="1" t="s">
        <v>50</v>
      </c>
      <c r="G21" s="1" t="s">
        <v>54</v>
      </c>
      <c r="H21" s="1" t="s">
        <v>53</v>
      </c>
      <c r="I21" s="1" t="s">
        <v>56</v>
      </c>
      <c r="J21" s="1" t="s">
        <v>57</v>
      </c>
    </row>
    <row r="22" spans="1:10" x14ac:dyDescent="0.25">
      <c r="A22" t="s">
        <v>30</v>
      </c>
      <c r="B22" s="2">
        <f>SUMIFS(Raw!$G:$G,Raw!$A:$A,"s17_d16",Raw!$C:$C,$A22,Raw!$D:$D,"discard")</f>
        <v>0.18970400000000001</v>
      </c>
      <c r="C22" s="2">
        <f>SUMIFS(Raw!$G:$G,Raw!$A:$A,"s17_d16",Raw!$C:$C,$A22,Raw!$D:$D,"permit")</f>
        <v>0.189475</v>
      </c>
      <c r="D22" s="3">
        <f t="shared" ref="D22:D33" si="1">C22/B22</f>
        <v>0.99879285623919367</v>
      </c>
      <c r="E22" s="4">
        <f>SUMIFS(Raw!$H:$H,Raw!$A:$A,"s17_d16",Raw!$C:$C,$A22,Raw!$D:$D,"discard")</f>
        <v>9.4732400000000005</v>
      </c>
      <c r="F22" s="4">
        <f>SUMIFS(Raw!$H:$H,Raw!$A:$A,"s17_d16",Raw!$C:$C,$A22,Raw!$D:$D,"permit")</f>
        <v>9.4817599999999995</v>
      </c>
      <c r="G22">
        <f>SUMIFS(Raw!$I:$I,Raw!$A:$A,"s17_d16",Raw!$C:$C,$A22,Raw!$D:$D,"permit")</f>
        <v>649</v>
      </c>
      <c r="H22">
        <f>SUMIFS(Raw!$J:$J,Raw!$A:$A,"s17_d16",Raw!$C:$C,$A22,Raw!$D:$D,"permit")</f>
        <v>314490</v>
      </c>
      <c r="I22">
        <f>SUMIFS(Raw!$K:$K,Raw!$A:$A,"s17_d16",Raw!$C:$C,$A22,Raw!$D:$D,"permit")-SUMIFS(Raw!$K:$K,Raw!$A:$A,"s17_d16",Raw!$C:$C,$A22,Raw!$D:$D,"discard")</f>
        <v>964</v>
      </c>
      <c r="J22">
        <f>SUMIFS(Raw!$L:$L,Raw!$A:$A,"s17_d16",Raw!$C:$C,$A22,Raw!$D:$D,"permit")-SUMIFS(Raw!$L:$L,Raw!$A:$A,"s17_d16",Raw!$C:$C,$A22,Raw!$D:$D,"discard")</f>
        <v>5964</v>
      </c>
    </row>
    <row r="23" spans="1:10" x14ac:dyDescent="0.25">
      <c r="A23" t="s">
        <v>32</v>
      </c>
      <c r="B23" s="2">
        <f>SUMIFS(Raw!$G:$G,Raw!$A:$A,"s17_d16",Raw!$C:$C,$A23,Raw!$D:$D,"discard")</f>
        <v>0.27402399999999999</v>
      </c>
      <c r="C23" s="2">
        <f>SUMIFS(Raw!$G:$G,Raw!$A:$A,"s17_d16",Raw!$C:$C,$A23,Raw!$D:$D,"permit")</f>
        <v>0.27393600000000001</v>
      </c>
      <c r="D23" s="3">
        <f t="shared" si="1"/>
        <v>0.99967886024581798</v>
      </c>
      <c r="E23" s="4">
        <f>SUMIFS(Raw!$H:$H,Raw!$A:$A,"s17_d16",Raw!$C:$C,$A23,Raw!$D:$D,"discard")</f>
        <v>5.0762</v>
      </c>
      <c r="F23" s="4">
        <f>SUMIFS(Raw!$H:$H,Raw!$A:$A,"s17_d16",Raw!$C:$C,$A23,Raw!$D:$D,"permit")</f>
        <v>5.0790800000000003</v>
      </c>
      <c r="G23">
        <f>SUMIFS(Raw!$I:$I,Raw!$A:$A,"s17_d16",Raw!$C:$C,$A23,Raw!$D:$D,"permit")</f>
        <v>4385</v>
      </c>
      <c r="H23">
        <f>SUMIFS(Raw!$J:$J,Raw!$A:$A,"s17_d16",Raw!$C:$C,$A23,Raw!$D:$D,"permit")</f>
        <v>93751</v>
      </c>
      <c r="I23">
        <f>SUMIFS(Raw!$K:$K,Raw!$A:$A,"s17_d16",Raw!$C:$C,$A23,Raw!$D:$D,"permit")-SUMIFS(Raw!$K:$K,Raw!$A:$A,"s17_d16",Raw!$C:$C,$A23,Raw!$D:$D,"discard")</f>
        <v>2402</v>
      </c>
      <c r="J23">
        <f>SUMIFS(Raw!$L:$L,Raw!$A:$A,"s17_d16",Raw!$C:$C,$A23,Raw!$D:$D,"permit")-SUMIFS(Raw!$L:$L,Raw!$A:$A,"s17_d16",Raw!$C:$C,$A23,Raw!$D:$D,"discard")</f>
        <v>22121</v>
      </c>
    </row>
    <row r="24" spans="1:10" x14ac:dyDescent="0.25">
      <c r="A24" t="s">
        <v>43</v>
      </c>
      <c r="B24" s="2">
        <f>SUMIFS(Raw!$G:$G,Raw!$A:$A,"s17_d16",Raw!$C:$C,$A24,Raw!$D:$D,"discard")</f>
        <v>0.219307</v>
      </c>
      <c r="C24" s="2">
        <f>SUMIFS(Raw!$G:$G,Raw!$A:$A,"s17_d16",Raw!$C:$C,$A24,Raw!$D:$D,"permit")</f>
        <v>0.21931500000000001</v>
      </c>
      <c r="D24" s="3">
        <f t="shared" si="1"/>
        <v>1.0000364785437765</v>
      </c>
      <c r="E24" s="4">
        <f>SUMIFS(Raw!$H:$H,Raw!$A:$A,"s17_d16",Raw!$C:$C,$A24,Raw!$D:$D,"discard")</f>
        <v>4.9491199999999997</v>
      </c>
      <c r="F24" s="4">
        <f>SUMIFS(Raw!$H:$H,Raw!$A:$A,"s17_d16",Raw!$C:$C,$A24,Raw!$D:$D,"permit")</f>
        <v>4.99864</v>
      </c>
      <c r="G24">
        <f>SUMIFS(Raw!$I:$I,Raw!$A:$A,"s17_d16",Raw!$C:$C,$A24,Raw!$D:$D,"permit")</f>
        <v>1358</v>
      </c>
      <c r="H24">
        <f>SUMIFS(Raw!$J:$J,Raw!$A:$A,"s17_d16",Raw!$C:$C,$A24,Raw!$D:$D,"permit")</f>
        <v>13858</v>
      </c>
      <c r="I24">
        <f>SUMIFS(Raw!$K:$K,Raw!$A:$A,"s17_d16",Raw!$C:$C,$A24,Raw!$D:$D,"permit")-SUMIFS(Raw!$K:$K,Raw!$A:$A,"s17_d16",Raw!$C:$C,$A24,Raw!$D:$D,"discard")</f>
        <v>548</v>
      </c>
      <c r="J24">
        <f>SUMIFS(Raw!$L:$L,Raw!$A:$A,"s17_d16",Raw!$C:$C,$A24,Raw!$D:$D,"permit")-SUMIFS(Raw!$L:$L,Raw!$A:$A,"s17_d16",Raw!$C:$C,$A24,Raw!$D:$D,"discard")</f>
        <v>7426</v>
      </c>
    </row>
    <row r="25" spans="1:10" x14ac:dyDescent="0.25">
      <c r="A25" t="s">
        <v>31</v>
      </c>
      <c r="B25" s="2">
        <f>SUMIFS(Raw!$G:$G,Raw!$A:$A,"s17_d16",Raw!$C:$C,$A25,Raw!$D:$D,"discard")</f>
        <v>0.22776199999999999</v>
      </c>
      <c r="C25" s="2">
        <f>SUMIFS(Raw!$G:$G,Raw!$A:$A,"s17_d16",Raw!$C:$C,$A25,Raw!$D:$D,"permit")</f>
        <v>0.22764000000000001</v>
      </c>
      <c r="D25" s="3">
        <f t="shared" si="1"/>
        <v>0.99946435314055904</v>
      </c>
      <c r="E25" s="4">
        <f>SUMIFS(Raw!$H:$H,Raw!$A:$A,"s17_d16",Raw!$C:$C,$A25,Raw!$D:$D,"discard")</f>
        <v>4.4102399999999999</v>
      </c>
      <c r="F25" s="4">
        <f>SUMIFS(Raw!$H:$H,Raw!$A:$A,"s17_d16",Raw!$C:$C,$A25,Raw!$D:$D,"permit")</f>
        <v>4.5383199999999997</v>
      </c>
      <c r="G25">
        <f>SUMIFS(Raw!$I:$I,Raw!$A:$A,"s17_d16",Raw!$C:$C,$A25,Raw!$D:$D,"permit")</f>
        <v>3327</v>
      </c>
      <c r="H25">
        <f>SUMIFS(Raw!$J:$J,Raw!$A:$A,"s17_d16",Raw!$C:$C,$A25,Raw!$D:$D,"permit")</f>
        <v>29245</v>
      </c>
      <c r="I25">
        <f>SUMIFS(Raw!$K:$K,Raw!$A:$A,"s17_d16",Raw!$C:$C,$A25,Raw!$D:$D,"permit")-SUMIFS(Raw!$K:$K,Raw!$A:$A,"s17_d16",Raw!$C:$C,$A25,Raw!$D:$D,"discard")</f>
        <v>634</v>
      </c>
      <c r="J25">
        <f>SUMIFS(Raw!$L:$L,Raw!$A:$A,"s17_d16",Raw!$C:$C,$A25,Raw!$D:$D,"permit")-SUMIFS(Raw!$L:$L,Raw!$A:$A,"s17_d16",Raw!$C:$C,$A25,Raw!$D:$D,"discard")</f>
        <v>10191</v>
      </c>
    </row>
    <row r="26" spans="1:10" x14ac:dyDescent="0.25">
      <c r="A26" t="s">
        <v>38</v>
      </c>
      <c r="B26" s="2">
        <f>SUMIFS(Raw!$G:$G,Raw!$A:$A,"s17_d16",Raw!$C:$C,$A26,Raw!$D:$D,"discard")</f>
        <v>0.342227</v>
      </c>
      <c r="C26" s="2">
        <f>SUMIFS(Raw!$G:$G,Raw!$A:$A,"s17_d16",Raw!$C:$C,$A26,Raw!$D:$D,"permit")</f>
        <v>0.34195999999999999</v>
      </c>
      <c r="D26" s="3">
        <f t="shared" si="1"/>
        <v>0.99921981608698318</v>
      </c>
      <c r="E26" s="4">
        <f>SUMIFS(Raw!$H:$H,Raw!$A:$A,"s17_d16",Raw!$C:$C,$A26,Raw!$D:$D,"discard")</f>
        <v>1.37856</v>
      </c>
      <c r="F26" s="4">
        <f>SUMIFS(Raw!$H:$H,Raw!$A:$A,"s17_d16",Raw!$C:$C,$A26,Raw!$D:$D,"permit")</f>
        <v>1.37588</v>
      </c>
      <c r="G26">
        <f>SUMIFS(Raw!$I:$I,Raw!$A:$A,"s17_d16",Raw!$C:$C,$A26,Raw!$D:$D,"permit")</f>
        <v>426</v>
      </c>
      <c r="H26">
        <f>SUMIFS(Raw!$J:$J,Raw!$A:$A,"s17_d16",Raw!$C:$C,$A26,Raw!$D:$D,"permit")</f>
        <v>1767287</v>
      </c>
      <c r="I26">
        <f>SUMIFS(Raw!$K:$K,Raw!$A:$A,"s17_d16",Raw!$C:$C,$A26,Raw!$D:$D,"permit")-SUMIFS(Raw!$K:$K,Raw!$A:$A,"s17_d16",Raw!$C:$C,$A26,Raw!$D:$D,"discard")</f>
        <v>3644</v>
      </c>
      <c r="J26">
        <f>SUMIFS(Raw!$L:$L,Raw!$A:$A,"s17_d16",Raw!$C:$C,$A26,Raw!$D:$D,"permit")-SUMIFS(Raw!$L:$L,Raw!$A:$A,"s17_d16",Raw!$C:$C,$A26,Raw!$D:$D,"discard")</f>
        <v>11531</v>
      </c>
    </row>
    <row r="27" spans="1:10" x14ac:dyDescent="0.25">
      <c r="A27" t="s">
        <v>29</v>
      </c>
      <c r="B27" s="2">
        <f>SUMIFS(Raw!$G:$G,Raw!$A:$A,"s17_d16",Raw!$C:$C,$A27,Raw!$D:$D,"discard")</f>
        <v>0.34729300000000002</v>
      </c>
      <c r="C27" s="2">
        <f>SUMIFS(Raw!$G:$G,Raw!$A:$A,"s17_d16",Raw!$C:$C,$A27,Raw!$D:$D,"permit")</f>
        <v>0.36697400000000002</v>
      </c>
      <c r="D27" s="3">
        <f t="shared" si="1"/>
        <v>1.0566697284425544</v>
      </c>
      <c r="E27" s="4">
        <f>SUMIFS(Raw!$H:$H,Raw!$A:$A,"s17_d16",Raw!$C:$C,$A27,Raw!$D:$D,"discard")</f>
        <v>1.23708</v>
      </c>
      <c r="F27" s="4">
        <f>SUMIFS(Raw!$H:$H,Raw!$A:$A,"s17_d16",Raw!$C:$C,$A27,Raw!$D:$D,"permit")</f>
        <v>1.23664</v>
      </c>
      <c r="G27">
        <f>SUMIFS(Raw!$I:$I,Raw!$A:$A,"s17_d16",Raw!$C:$C,$A27,Raw!$D:$D,"permit")</f>
        <v>24412</v>
      </c>
      <c r="H27">
        <f>SUMIFS(Raw!$J:$J,Raw!$A:$A,"s17_d16",Raw!$C:$C,$A27,Raw!$D:$D,"permit")</f>
        <v>1324480</v>
      </c>
      <c r="I27">
        <f>SUMIFS(Raw!$K:$K,Raw!$A:$A,"s17_d16",Raw!$C:$C,$A27,Raw!$D:$D,"permit")-SUMIFS(Raw!$K:$K,Raw!$A:$A,"s17_d16",Raw!$C:$C,$A27,Raw!$D:$D,"discard")</f>
        <v>40383</v>
      </c>
      <c r="J27">
        <f>SUMIFS(Raw!$L:$L,Raw!$A:$A,"s17_d16",Raw!$C:$C,$A27,Raw!$D:$D,"permit")-SUMIFS(Raw!$L:$L,Raw!$A:$A,"s17_d16",Raw!$C:$C,$A27,Raw!$D:$D,"discard")</f>
        <v>37714</v>
      </c>
    </row>
    <row r="28" spans="1:10" x14ac:dyDescent="0.25">
      <c r="A28" t="s">
        <v>28</v>
      </c>
      <c r="B28" s="2">
        <f>SUMIFS(Raw!$G:$G,Raw!$A:$A,"s17_d16",Raw!$C:$C,$A28,Raw!$D:$D,"discard")</f>
        <v>0.25608199999999998</v>
      </c>
      <c r="C28" s="2">
        <f>SUMIFS(Raw!$G:$G,Raw!$A:$A,"s17_d16",Raw!$C:$C,$A28,Raw!$D:$D,"permit")</f>
        <v>0.28026200000000001</v>
      </c>
      <c r="D28" s="3">
        <f t="shared" si="1"/>
        <v>1.0944228801711953</v>
      </c>
      <c r="E28" s="4">
        <f>SUMIFS(Raw!$H:$H,Raw!$A:$A,"s17_d16",Raw!$C:$C,$A28,Raw!$D:$D,"discard")</f>
        <v>8.6760000000000004E-2</v>
      </c>
      <c r="F28" s="4">
        <f>SUMIFS(Raw!$H:$H,Raw!$A:$A,"s17_d16",Raw!$C:$C,$A28,Raw!$D:$D,"permit")</f>
        <v>8.6760000000000004E-2</v>
      </c>
      <c r="G28">
        <f>SUMIFS(Raw!$I:$I,Raw!$A:$A,"s17_d16",Raw!$C:$C,$A28,Raw!$D:$D,"permit")</f>
        <v>11</v>
      </c>
      <c r="H28">
        <f>SUMIFS(Raw!$J:$J,Raw!$A:$A,"s17_d16",Raw!$C:$C,$A28,Raw!$D:$D,"permit")</f>
        <v>4371349</v>
      </c>
      <c r="I28">
        <f>SUMIFS(Raw!$K:$K,Raw!$A:$A,"s17_d16",Raw!$C:$C,$A28,Raw!$D:$D,"permit")-SUMIFS(Raw!$K:$K,Raw!$A:$A,"s17_d16",Raw!$C:$C,$A28,Raw!$D:$D,"discard")</f>
        <v>142448</v>
      </c>
      <c r="J28">
        <f>SUMIFS(Raw!$L:$L,Raw!$A:$A,"s17_d16",Raw!$C:$C,$A28,Raw!$D:$D,"permit")-SUMIFS(Raw!$L:$L,Raw!$A:$A,"s17_d16",Raw!$C:$C,$A28,Raw!$D:$D,"discard")</f>
        <v>134786</v>
      </c>
    </row>
    <row r="29" spans="1:10" x14ac:dyDescent="0.25">
      <c r="A29" t="s">
        <v>41</v>
      </c>
      <c r="B29" s="2">
        <f>SUMIFS(Raw!$G:$G,Raw!$A:$A,"s17_d16",Raw!$C:$C,$A29,Raw!$D:$D,"discard")</f>
        <v>0.41707699999999998</v>
      </c>
      <c r="C29" s="2">
        <f>SUMIFS(Raw!$G:$G,Raw!$A:$A,"s17_d16",Raw!$C:$C,$A29,Raw!$D:$D,"permit")</f>
        <v>0.41897899999999999</v>
      </c>
      <c r="D29" s="3">
        <f t="shared" si="1"/>
        <v>1.0045603090076893</v>
      </c>
      <c r="E29" s="4">
        <f>SUMIFS(Raw!$H:$H,Raw!$A:$A,"s17_d16",Raw!$C:$C,$A29,Raw!$D:$D,"discard")</f>
        <v>0.20763999999999999</v>
      </c>
      <c r="F29" s="4">
        <f>SUMIFS(Raw!$H:$H,Raw!$A:$A,"s17_d16",Raw!$C:$C,$A29,Raw!$D:$D,"permit")</f>
        <v>0.20796000000000001</v>
      </c>
      <c r="G29">
        <f>SUMIFS(Raw!$I:$I,Raw!$A:$A,"s17_d16",Raw!$C:$C,$A29,Raw!$D:$D,"permit")</f>
        <v>2456</v>
      </c>
      <c r="H29">
        <f>SUMIFS(Raw!$J:$J,Raw!$A:$A,"s17_d16",Raw!$C:$C,$A29,Raw!$D:$D,"permit")</f>
        <v>2920278</v>
      </c>
      <c r="I29">
        <f>SUMIFS(Raw!$K:$K,Raw!$A:$A,"s17_d16",Raw!$C:$C,$A29,Raw!$D:$D,"permit")-SUMIFS(Raw!$K:$K,Raw!$A:$A,"s17_d16",Raw!$C:$C,$A29,Raw!$D:$D,"discard")</f>
        <v>6068</v>
      </c>
      <c r="J29">
        <f>SUMIFS(Raw!$L:$L,Raw!$A:$A,"s17_d16",Raw!$C:$C,$A29,Raw!$D:$D,"permit")-SUMIFS(Raw!$L:$L,Raw!$A:$A,"s17_d16",Raw!$C:$C,$A29,Raw!$D:$D,"discard")</f>
        <v>710</v>
      </c>
    </row>
    <row r="30" spans="1:10" x14ac:dyDescent="0.25">
      <c r="A30" t="s">
        <v>33</v>
      </c>
      <c r="B30" s="2">
        <f>SUMIFS(Raw!$G:$G,Raw!$A:$A,"s17_d16",Raw!$C:$C,$A30,Raw!$D:$D,"discard")</f>
        <v>1.0001199999999999</v>
      </c>
      <c r="C30" s="2">
        <f>SUMIFS(Raw!$G:$G,Raw!$A:$A,"s17_d16",Raw!$C:$C,$A30,Raw!$D:$D,"permit")</f>
        <v>1.00332</v>
      </c>
      <c r="D30" s="3">
        <f t="shared" si="1"/>
        <v>1.0031996160460745</v>
      </c>
      <c r="E30" s="4">
        <f>SUMIFS(Raw!$H:$H,Raw!$A:$A,"s17_d16",Raw!$C:$C,$A30,Raw!$D:$D,"discard")</f>
        <v>0.13744000000000001</v>
      </c>
      <c r="F30" s="4">
        <f>SUMIFS(Raw!$H:$H,Raw!$A:$A,"s17_d16",Raw!$C:$C,$A30,Raw!$D:$D,"permit")</f>
        <v>0.13744000000000001</v>
      </c>
      <c r="G30">
        <f>SUMIFS(Raw!$I:$I,Raw!$A:$A,"s17_d16",Raw!$C:$C,$A30,Raw!$D:$D,"permit")</f>
        <v>0</v>
      </c>
      <c r="H30">
        <f>SUMIFS(Raw!$J:$J,Raw!$A:$A,"s17_d16",Raw!$C:$C,$A30,Raw!$D:$D,"permit")</f>
        <v>1612667</v>
      </c>
      <c r="I30">
        <f>SUMIFS(Raw!$K:$K,Raw!$A:$A,"s17_d16",Raw!$C:$C,$A30,Raw!$D:$D,"permit")-SUMIFS(Raw!$K:$K,Raw!$A:$A,"s17_d16",Raw!$C:$C,$A30,Raw!$D:$D,"discard")</f>
        <v>2086</v>
      </c>
      <c r="J30">
        <f>SUMIFS(Raw!$L:$L,Raw!$A:$A,"s17_d16",Raw!$C:$C,$A30,Raw!$D:$D,"permit")-SUMIFS(Raw!$L:$L,Raw!$A:$A,"s17_d16",Raw!$C:$C,$A30,Raw!$D:$D,"discard")</f>
        <v>1045</v>
      </c>
    </row>
    <row r="31" spans="1:10" x14ac:dyDescent="0.25">
      <c r="A31" t="s">
        <v>37</v>
      </c>
      <c r="B31" s="2">
        <f>SUMIFS(Raw!$G:$G,Raw!$A:$A,"s17_d16",Raw!$C:$C,$A31,Raw!$D:$D,"discard")</f>
        <v>0.450905</v>
      </c>
      <c r="C31" s="2">
        <f>SUMIFS(Raw!$G:$G,Raw!$A:$A,"s17_d16",Raw!$C:$C,$A31,Raw!$D:$D,"permit")</f>
        <v>0.44960099999999997</v>
      </c>
      <c r="D31" s="3">
        <f t="shared" si="1"/>
        <v>0.99710803827857308</v>
      </c>
      <c r="E31" s="4">
        <f>SUMIFS(Raw!$H:$H,Raw!$A:$A,"s17_d16",Raw!$C:$C,$A31,Raw!$D:$D,"discard")</f>
        <v>0.73616000000000004</v>
      </c>
      <c r="F31" s="4">
        <f>SUMIFS(Raw!$H:$H,Raw!$A:$A,"s17_d16",Raw!$C:$C,$A31,Raw!$D:$D,"permit")</f>
        <v>0.73616000000000004</v>
      </c>
      <c r="G31">
        <f>SUMIFS(Raw!$I:$I,Raw!$A:$A,"s17_d16",Raw!$C:$C,$A31,Raw!$D:$D,"permit")</f>
        <v>0</v>
      </c>
      <c r="H31">
        <f>SUMIFS(Raw!$J:$J,Raw!$A:$A,"s17_d16",Raw!$C:$C,$A31,Raw!$D:$D,"permit")</f>
        <v>629283</v>
      </c>
      <c r="I31">
        <f>SUMIFS(Raw!$K:$K,Raw!$A:$A,"s17_d16",Raw!$C:$C,$A31,Raw!$D:$D,"permit")-SUMIFS(Raw!$K:$K,Raw!$A:$A,"s17_d16",Raw!$C:$C,$A31,Raw!$D:$D,"discard")</f>
        <v>-612</v>
      </c>
      <c r="J31">
        <f>SUMIFS(Raw!$L:$L,Raw!$A:$A,"s17_d16",Raw!$C:$C,$A31,Raw!$D:$D,"permit")-SUMIFS(Raw!$L:$L,Raw!$A:$A,"s17_d16",Raw!$C:$C,$A31,Raw!$D:$D,"discard")</f>
        <v>0</v>
      </c>
    </row>
    <row r="32" spans="1:10" x14ac:dyDescent="0.25">
      <c r="A32" t="s">
        <v>39</v>
      </c>
      <c r="B32" s="2">
        <f>SUMIFS(Raw!$G:$G,Raw!$A:$A,"s17_d16",Raw!$C:$C,$A32,Raw!$D:$D,"discard")</f>
        <v>0.70695300000000005</v>
      </c>
      <c r="C32" s="2">
        <f>SUMIFS(Raw!$G:$G,Raw!$A:$A,"s17_d16",Raw!$C:$C,$A32,Raw!$D:$D,"permit")</f>
        <v>0.70695300000000005</v>
      </c>
      <c r="D32" s="3">
        <f t="shared" si="1"/>
        <v>1</v>
      </c>
      <c r="E32" s="4">
        <f>SUMIFS(Raw!$H:$H,Raw!$A:$A,"s17_d16",Raw!$C:$C,$A32,Raw!$D:$D,"discard")</f>
        <v>7.0400000000000003E-3</v>
      </c>
      <c r="F32" s="4">
        <f>SUMIFS(Raw!$H:$H,Raw!$A:$A,"s17_d16",Raw!$C:$C,$A32,Raw!$D:$D,"permit")</f>
        <v>7.0400000000000003E-3</v>
      </c>
      <c r="G32">
        <f>SUMIFS(Raw!$I:$I,Raw!$A:$A,"s17_d16",Raw!$C:$C,$A32,Raw!$D:$D,"permit")</f>
        <v>0</v>
      </c>
      <c r="H32">
        <f>SUMIFS(Raw!$J:$J,Raw!$A:$A,"s17_d16",Raw!$C:$C,$A32,Raw!$D:$D,"permit")</f>
        <v>8201</v>
      </c>
      <c r="I32">
        <f>SUMIFS(Raw!$K:$K,Raw!$A:$A,"s17_d16",Raw!$C:$C,$A32,Raw!$D:$D,"permit")-SUMIFS(Raw!$K:$K,Raw!$A:$A,"s17_d16",Raw!$C:$C,$A32,Raw!$D:$D,"discard")</f>
        <v>0</v>
      </c>
      <c r="J32">
        <f>SUMIFS(Raw!$L:$L,Raw!$A:$A,"s17_d16",Raw!$C:$C,$A32,Raw!$D:$D,"permit")-SUMIFS(Raw!$L:$L,Raw!$A:$A,"s17_d16",Raw!$C:$C,$A32,Raw!$D:$D,"discard")</f>
        <v>0</v>
      </c>
    </row>
    <row r="33" spans="1:10" x14ac:dyDescent="0.25">
      <c r="A33" t="s">
        <v>42</v>
      </c>
      <c r="B33" s="2">
        <f>SUMIFS(Raw!$G:$G,Raw!$A:$A,"s17_d16",Raw!$C:$C,$A33,Raw!$D:$D,"discard")</f>
        <v>0.85338499999999995</v>
      </c>
      <c r="C33" s="2">
        <f>SUMIFS(Raw!$G:$G,Raw!$A:$A,"s17_d16",Raw!$C:$C,$A33,Raw!$D:$D,"permit")</f>
        <v>0.85338499999999995</v>
      </c>
      <c r="D33" s="3">
        <f t="shared" si="1"/>
        <v>1</v>
      </c>
      <c r="E33" s="4">
        <f>SUMIFS(Raw!$H:$H,Raw!$A:$A,"s17_d16",Raw!$C:$C,$A33,Raw!$D:$D,"discard")</f>
        <v>4.0719999999999999E-2</v>
      </c>
      <c r="F33" s="4">
        <f>SUMIFS(Raw!$H:$H,Raw!$A:$A,"s17_d16",Raw!$C:$C,$A33,Raw!$D:$D,"permit")</f>
        <v>4.0719999999999999E-2</v>
      </c>
      <c r="G33">
        <f>SUMIFS(Raw!$I:$I,Raw!$A:$A,"s17_d16",Raw!$C:$C,$A33,Raw!$D:$D,"permit")</f>
        <v>0</v>
      </c>
      <c r="H33">
        <f>SUMIFS(Raw!$J:$J,Raw!$A:$A,"s17_d16",Raw!$C:$C,$A33,Raw!$D:$D,"permit")</f>
        <v>0</v>
      </c>
      <c r="I33">
        <f>SUMIFS(Raw!$K:$K,Raw!$A:$A,"s17_d16",Raw!$C:$C,$A33,Raw!$D:$D,"permit")-SUMIFS(Raw!$K:$K,Raw!$A:$A,"s17_d16",Raw!$C:$C,$A33,Raw!$D:$D,"discard")</f>
        <v>0</v>
      </c>
      <c r="J33">
        <f>SUMIFS(Raw!$L:$L,Raw!$A:$A,"s17_d16",Raw!$C:$C,$A33,Raw!$D:$D,"permit")-SUMIFS(Raw!$L:$L,Raw!$A:$A,"s17_d16",Raw!$C:$C,$A33,Raw!$D:$D,"discard")</f>
        <v>0</v>
      </c>
    </row>
    <row r="34" spans="1:10" x14ac:dyDescent="0.25">
      <c r="A34" s="1" t="s">
        <v>51</v>
      </c>
      <c r="B34" s="5"/>
      <c r="C34" s="5"/>
      <c r="D34" s="6">
        <f>GEOMEAN(D22:D33)</f>
        <v>1.0123581388470979</v>
      </c>
      <c r="E34" s="7"/>
      <c r="F34" s="7"/>
      <c r="G34" s="1"/>
      <c r="H34" s="1"/>
      <c r="I34" s="1"/>
      <c r="J34" s="1"/>
    </row>
    <row r="37" spans="1:10" x14ac:dyDescent="0.25">
      <c r="A37" s="1" t="s">
        <v>59</v>
      </c>
    </row>
    <row r="38" spans="1:10" x14ac:dyDescent="0.25">
      <c r="A38" t="s">
        <v>75</v>
      </c>
    </row>
    <row r="39" spans="1:10" x14ac:dyDescent="0.25">
      <c r="A39" t="s">
        <v>76</v>
      </c>
    </row>
    <row r="40" spans="1:10" x14ac:dyDescent="0.25">
      <c r="A40" t="s">
        <v>77</v>
      </c>
    </row>
    <row r="41" spans="1:10" x14ac:dyDescent="0.25">
      <c r="A41" t="s">
        <v>78</v>
      </c>
    </row>
    <row r="42" spans="1:10" x14ac:dyDescent="0.25">
      <c r="A42" t="s">
        <v>79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3"/>
  <sheetViews>
    <sheetView tabSelected="1" zoomScaleNormal="100" workbookViewId="0">
      <selection activeCell="G16" sqref="G16"/>
    </sheetView>
  </sheetViews>
  <sheetFormatPr defaultColWidth="8.7109375" defaultRowHeight="15" x14ac:dyDescent="0.25"/>
  <cols>
    <col min="1" max="1" width="22" customWidth="1"/>
    <col min="2" max="2" width="12" customWidth="1"/>
    <col min="3" max="3" width="11" customWidth="1"/>
    <col min="4" max="4" width="26" customWidth="1"/>
    <col min="5" max="5" width="18" customWidth="1"/>
    <col min="6" max="6" width="17" customWidth="1"/>
    <col min="7" max="7" width="18" customWidth="1"/>
    <col min="8" max="8" width="33" customWidth="1"/>
    <col min="9" max="9" width="27" customWidth="1"/>
    <col min="10" max="10" width="19" customWidth="1"/>
    <col min="11" max="11" width="20" customWidth="1"/>
    <col min="12" max="12" width="18" customWidth="1"/>
    <col min="13" max="13" width="27" customWidth="1"/>
  </cols>
  <sheetData>
    <row r="1" spans="1:13" x14ac:dyDescent="0.25">
      <c r="A1" s="13" t="s">
        <v>80</v>
      </c>
      <c r="B1" s="13"/>
      <c r="C1" s="13"/>
      <c r="D1" s="13"/>
      <c r="E1" s="13"/>
    </row>
    <row r="3" spans="1:13" x14ac:dyDescent="0.25">
      <c r="A3" s="1" t="s">
        <v>81</v>
      </c>
    </row>
    <row r="4" spans="1:13" x14ac:dyDescent="0.25">
      <c r="A4" s="1" t="s">
        <v>2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82</v>
      </c>
      <c r="H4" s="1" t="s">
        <v>54</v>
      </c>
      <c r="I4" s="1" t="s">
        <v>53</v>
      </c>
      <c r="J4" s="1" t="s">
        <v>56</v>
      </c>
      <c r="K4" s="1" t="s">
        <v>57</v>
      </c>
      <c r="L4" s="1" t="s">
        <v>58</v>
      </c>
      <c r="M4" s="1" t="s">
        <v>83</v>
      </c>
    </row>
    <row r="5" spans="1:13" x14ac:dyDescent="0.25">
      <c r="A5" t="s">
        <v>28</v>
      </c>
      <c r="B5" s="2">
        <f>SUMIFS(Raw!$G:$G,Raw!$A:$A,"final_d16",Raw!$C:$C,$A5,Raw!$D:$D,"discard")</f>
        <v>0.25806699999999999</v>
      </c>
      <c r="C5" s="2">
        <f>SUMIFS(Raw!$G:$G,Raw!$A:$A,"final_d16",Raw!$C:$C,$A5,Raw!$D:$D,"permit")</f>
        <v>0.28155799999999997</v>
      </c>
      <c r="D5" s="2">
        <f t="shared" ref="D5:D10" si="0">C5/B5</f>
        <v>1.091026748867542</v>
      </c>
      <c r="E5" s="4">
        <f>SUMIFS(Raw!$H:$H,Raw!$A:$A,"final_d16",Raw!$C:$C,$A5,Raw!$D:$D,"discard")</f>
        <v>8.0360000000000001E-2</v>
      </c>
      <c r="F5" s="4">
        <f>SUMIFS(Raw!$H:$H,Raw!$A:$A,"final_d16",Raw!$C:$C,$A5,Raw!$D:$D,"permit")</f>
        <v>8.0360000000000001E-2</v>
      </c>
      <c r="G5" s="9">
        <f t="shared" ref="G5:G10" si="1">F5/E5-1</f>
        <v>0</v>
      </c>
      <c r="H5">
        <f>SUMIFS(Raw!$I:$I,Raw!$A:$A,"final_d16",Raw!$C:$C,$A5,Raw!$D:$D,"permit")</f>
        <v>189</v>
      </c>
      <c r="I5">
        <f>SUMIFS(Raw!$J:$J,Raw!$A:$A,"final_d16",Raw!$C:$C,$A5,Raw!$D:$D,"permit")</f>
        <v>14876057</v>
      </c>
      <c r="J5">
        <f>SUMIFS(Raw!$K:$K,Raw!$A:$A,"final_d16",Raw!$C:$C,$A5,Raw!$D:$D,"permit")-SUMIFS(Raw!$K:$K,Raw!$A:$A,"final_d16",Raw!$C:$C,$A5,Raw!$D:$D,"discard")</f>
        <v>541992</v>
      </c>
      <c r="K5">
        <f>SUMIFS(Raw!$L:$L,Raw!$A:$A,"final_d16",Raw!$C:$C,$A5,Raw!$D:$D,"permit")-SUMIFS(Raw!$L:$L,Raw!$A:$A,"final_d16",Raw!$C:$C,$A5,Raw!$D:$D,"discard")</f>
        <v>529502</v>
      </c>
      <c r="L5">
        <f>SUMIFS(Raw!$M:$M,Raw!$A:$A,"final_d16",Raw!$C:$C,$A5,Raw!$D:$D,"permit")-SUMIFS(Raw!$M:$M,Raw!$A:$A,"final_d16",Raw!$C:$C,$A5,Raw!$D:$D,"discard")</f>
        <v>15551</v>
      </c>
      <c r="M5" s="10">
        <f t="shared" ref="M5:M10" si="2">K5/J5</f>
        <v>0.97695537941519428</v>
      </c>
    </row>
    <row r="6" spans="1:13" x14ac:dyDescent="0.25">
      <c r="A6" t="s">
        <v>29</v>
      </c>
      <c r="B6" s="2">
        <f>SUMIFS(Raw!$G:$G,Raw!$A:$A,"final_d16",Raw!$C:$C,$A6,Raw!$D:$D,"discard")</f>
        <v>0.35281200000000001</v>
      </c>
      <c r="C6" s="2">
        <f>SUMIFS(Raw!$G:$G,Raw!$A:$A,"final_d16",Raw!$C:$C,$A6,Raw!$D:$D,"permit")</f>
        <v>0.37574800000000003</v>
      </c>
      <c r="D6" s="2">
        <f t="shared" si="0"/>
        <v>1.0650091266736958</v>
      </c>
      <c r="E6" s="4">
        <f>SUMIFS(Raw!$H:$H,Raw!$A:$A,"final_d16",Raw!$C:$C,$A6,Raw!$D:$D,"discard")</f>
        <v>1.29704</v>
      </c>
      <c r="F6" s="4">
        <f>SUMIFS(Raw!$H:$H,Raw!$A:$A,"final_d16",Raw!$C:$C,$A6,Raw!$D:$D,"permit")</f>
        <v>1.2964</v>
      </c>
      <c r="G6" s="9">
        <f t="shared" si="1"/>
        <v>-4.9343119718747719E-4</v>
      </c>
      <c r="H6">
        <f>SUMIFS(Raw!$I:$I,Raw!$A:$A,"final_d16",Raw!$C:$C,$A6,Raw!$D:$D,"permit")</f>
        <v>107430</v>
      </c>
      <c r="I6">
        <f>SUMIFS(Raw!$J:$J,Raw!$A:$A,"final_d16",Raw!$C:$C,$A6,Raw!$D:$D,"permit")</f>
        <v>4398148</v>
      </c>
      <c r="J6">
        <f>SUMIFS(Raw!$K:$K,Raw!$A:$A,"final_d16",Raw!$C:$C,$A6,Raw!$D:$D,"permit")-SUMIFS(Raw!$K:$K,Raw!$A:$A,"final_d16",Raw!$C:$C,$A6,Raw!$D:$D,"discard")</f>
        <v>181336</v>
      </c>
      <c r="K6">
        <f>SUMIFS(Raw!$L:$L,Raw!$A:$A,"final_d16",Raw!$C:$C,$A6,Raw!$D:$D,"permit")-SUMIFS(Raw!$L:$L,Raw!$A:$A,"final_d16",Raw!$C:$C,$A6,Raw!$D:$D,"discard")</f>
        <v>168069</v>
      </c>
      <c r="L6">
        <f>SUMIFS(Raw!$M:$M,Raw!$A:$A,"final_d16",Raw!$C:$C,$A6,Raw!$D:$D,"permit")-SUMIFS(Raw!$M:$M,Raw!$A:$A,"final_d16",Raw!$C:$C,$A6,Raw!$D:$D,"discard")</f>
        <v>8620</v>
      </c>
      <c r="M6" s="10">
        <f t="shared" si="2"/>
        <v>0.92683747297833852</v>
      </c>
    </row>
    <row r="7" spans="1:13" x14ac:dyDescent="0.25">
      <c r="A7" t="s">
        <v>33</v>
      </c>
      <c r="B7" s="2">
        <f>SUMIFS(Raw!$G:$G,Raw!$A:$A,"final_d16",Raw!$C:$C,$A7,Raw!$D:$D,"discard")</f>
        <v>1.00024</v>
      </c>
      <c r="C7" s="2">
        <f>SUMIFS(Raw!$G:$G,Raw!$A:$A,"final_d16",Raw!$C:$C,$A7,Raw!$D:$D,"permit")</f>
        <v>1.00343</v>
      </c>
      <c r="D7" s="2">
        <f t="shared" si="0"/>
        <v>1.0031892345836999</v>
      </c>
      <c r="E7" s="4">
        <f>SUMIFS(Raw!$H:$H,Raw!$A:$A,"final_d16",Raw!$C:$C,$A7,Raw!$D:$D,"discard")</f>
        <v>0.13718</v>
      </c>
      <c r="F7" s="4">
        <f>SUMIFS(Raw!$H:$H,Raw!$A:$A,"final_d16",Raw!$C:$C,$A7,Raw!$D:$D,"permit")</f>
        <v>0.13718</v>
      </c>
      <c r="G7" s="9">
        <f t="shared" si="1"/>
        <v>0</v>
      </c>
      <c r="H7">
        <f>SUMIFS(Raw!$I:$I,Raw!$A:$A,"final_d16",Raw!$C:$C,$A7,Raw!$D:$D,"permit")</f>
        <v>0</v>
      </c>
      <c r="I7">
        <f>SUMIFS(Raw!$J:$J,Raw!$A:$A,"final_d16",Raw!$C:$C,$A7,Raw!$D:$D,"permit")</f>
        <v>4892149</v>
      </c>
      <c r="J7">
        <f>SUMIFS(Raw!$K:$K,Raw!$A:$A,"final_d16",Raw!$C:$C,$A7,Raw!$D:$D,"permit")-SUMIFS(Raw!$K:$K,Raw!$A:$A,"final_d16",Raw!$C:$C,$A7,Raw!$D:$D,"discard")</f>
        <v>8288</v>
      </c>
      <c r="K7">
        <f>SUMIFS(Raw!$L:$L,Raw!$A:$A,"final_d16",Raw!$C:$C,$A7,Raw!$D:$D,"permit")-SUMIFS(Raw!$L:$L,Raw!$A:$A,"final_d16",Raw!$C:$C,$A7,Raw!$D:$D,"discard")</f>
        <v>4192</v>
      </c>
      <c r="L7">
        <f>SUMIFS(Raw!$M:$M,Raw!$A:$A,"final_d16",Raw!$C:$C,$A7,Raw!$D:$D,"permit")-SUMIFS(Raw!$M:$M,Raw!$A:$A,"final_d16",Raw!$C:$C,$A7,Raw!$D:$D,"discard")</f>
        <v>1525</v>
      </c>
      <c r="M7" s="10">
        <f t="shared" si="2"/>
        <v>0.50579150579150578</v>
      </c>
    </row>
    <row r="8" spans="1:13" x14ac:dyDescent="0.25">
      <c r="A8" t="s">
        <v>30</v>
      </c>
      <c r="B8" s="2">
        <f>SUMIFS(Raw!$G:$G,Raw!$A:$A,"final_d16",Raw!$C:$C,$A8,Raw!$D:$D,"discard")</f>
        <v>0.24628700000000001</v>
      </c>
      <c r="C8" s="2">
        <f>SUMIFS(Raw!$G:$G,Raw!$A:$A,"final_d16",Raw!$C:$C,$A8,Raw!$D:$D,"permit")</f>
        <v>0.24588299999999999</v>
      </c>
      <c r="D8" s="2">
        <f t="shared" si="0"/>
        <v>0.99835963733367972</v>
      </c>
      <c r="E8" s="4">
        <f>SUMIFS(Raw!$H:$H,Raw!$A:$A,"final_d16",Raw!$C:$C,$A8,Raw!$D:$D,"discard")</f>
        <v>8.0780999999999992</v>
      </c>
      <c r="F8" s="4">
        <f>SUMIFS(Raw!$H:$H,Raw!$A:$A,"final_d16",Raw!$C:$C,$A8,Raw!$D:$D,"permit")</f>
        <v>8.1095199999999998</v>
      </c>
      <c r="G8" s="9">
        <f t="shared" si="1"/>
        <v>3.8895284782314299E-3</v>
      </c>
      <c r="H8">
        <f>SUMIFS(Raw!$I:$I,Raw!$A:$A,"final_d16",Raw!$C:$C,$A8,Raw!$D:$D,"permit")</f>
        <v>4464</v>
      </c>
      <c r="I8">
        <f>SUMIFS(Raw!$J:$J,Raw!$A:$A,"final_d16",Raw!$C:$C,$A8,Raw!$D:$D,"permit")</f>
        <v>953407</v>
      </c>
      <c r="J8">
        <f>SUMIFS(Raw!$K:$K,Raw!$A:$A,"final_d16",Raw!$C:$C,$A8,Raw!$D:$D,"permit")-SUMIFS(Raw!$K:$K,Raw!$A:$A,"final_d16",Raw!$C:$C,$A8,Raw!$D:$D,"discard")</f>
        <v>4508</v>
      </c>
      <c r="K8">
        <f>SUMIFS(Raw!$L:$L,Raw!$A:$A,"final_d16",Raw!$C:$C,$A8,Raw!$D:$D,"permit")-SUMIFS(Raw!$L:$L,Raw!$A:$A,"final_d16",Raw!$C:$C,$A8,Raw!$D:$D,"discard")</f>
        <v>36722</v>
      </c>
      <c r="L8">
        <f>SUMIFS(Raw!$M:$M,Raw!$A:$A,"final_d16",Raw!$C:$C,$A8,Raw!$D:$D,"permit")-SUMIFS(Raw!$M:$M,Raw!$A:$A,"final_d16",Raw!$C:$C,$A8,Raw!$D:$D,"discard")</f>
        <v>-26</v>
      </c>
      <c r="M8" s="10">
        <f t="shared" si="2"/>
        <v>8.145962732919255</v>
      </c>
    </row>
    <row r="9" spans="1:13" x14ac:dyDescent="0.25">
      <c r="A9" t="s">
        <v>31</v>
      </c>
      <c r="B9" s="2">
        <f>SUMIFS(Raw!$G:$G,Raw!$A:$A,"final_d16",Raw!$C:$C,$A9,Raw!$D:$D,"discard")</f>
        <v>0.23189499999999999</v>
      </c>
      <c r="C9" s="2">
        <f>SUMIFS(Raw!$G:$G,Raw!$A:$A,"final_d16",Raw!$C:$C,$A9,Raw!$D:$D,"permit")</f>
        <v>0.23169600000000001</v>
      </c>
      <c r="D9" s="2">
        <f t="shared" si="0"/>
        <v>0.99914185299381197</v>
      </c>
      <c r="E9" s="4">
        <f>SUMIFS(Raw!$H:$H,Raw!$A:$A,"final_d16",Raw!$C:$C,$A9,Raw!$D:$D,"discard")</f>
        <v>4.2801400000000003</v>
      </c>
      <c r="F9" s="4">
        <f>SUMIFS(Raw!$H:$H,Raw!$A:$A,"final_d16",Raw!$C:$C,$A9,Raw!$D:$D,"permit")</f>
        <v>4.4396199999999997</v>
      </c>
      <c r="G9" s="9">
        <f t="shared" si="1"/>
        <v>3.7260463442784442E-2</v>
      </c>
      <c r="H9">
        <f>SUMIFS(Raw!$I:$I,Raw!$A:$A,"final_d16",Raw!$C:$C,$A9,Raw!$D:$D,"permit")</f>
        <v>16137</v>
      </c>
      <c r="I9">
        <f>SUMIFS(Raw!$J:$J,Raw!$A:$A,"final_d16",Raw!$C:$C,$A9,Raw!$D:$D,"permit")</f>
        <v>100895</v>
      </c>
      <c r="J9">
        <f>SUMIFS(Raw!$K:$K,Raw!$A:$A,"final_d16",Raw!$C:$C,$A9,Raw!$D:$D,"permit")-SUMIFS(Raw!$K:$K,Raw!$A:$A,"final_d16",Raw!$C:$C,$A9,Raw!$D:$D,"discard")</f>
        <v>2566</v>
      </c>
      <c r="K9">
        <f>SUMIFS(Raw!$L:$L,Raw!$A:$A,"final_d16",Raw!$C:$C,$A9,Raw!$D:$D,"permit")-SUMIFS(Raw!$L:$L,Raw!$A:$A,"final_d16",Raw!$C:$C,$A9,Raw!$D:$D,"discard")</f>
        <v>44366</v>
      </c>
      <c r="L9">
        <f>SUMIFS(Raw!$M:$M,Raw!$A:$A,"final_d16",Raw!$C:$C,$A9,Raw!$D:$D,"permit")-SUMIFS(Raw!$M:$M,Raw!$A:$A,"final_d16",Raw!$C:$C,$A9,Raw!$D:$D,"discard")</f>
        <v>53</v>
      </c>
      <c r="M9" s="10">
        <f t="shared" si="2"/>
        <v>17.289945440374122</v>
      </c>
    </row>
    <row r="10" spans="1:13" x14ac:dyDescent="0.25">
      <c r="A10" t="s">
        <v>32</v>
      </c>
      <c r="B10" s="2">
        <f>SUMIFS(Raw!$G:$G,Raw!$A:$A,"final_d16",Raw!$C:$C,$A10,Raw!$D:$D,"discard")</f>
        <v>0.28034799999999999</v>
      </c>
      <c r="C10" s="2">
        <f>SUMIFS(Raw!$G:$G,Raw!$A:$A,"final_d16",Raw!$C:$C,$A10,Raw!$D:$D,"permit")</f>
        <v>0.280339</v>
      </c>
      <c r="D10" s="2">
        <f t="shared" si="0"/>
        <v>0.99996789704224753</v>
      </c>
      <c r="E10" s="4">
        <f>SUMIFS(Raw!$H:$H,Raw!$A:$A,"final_d16",Raw!$C:$C,$A10,Raw!$D:$D,"discard")</f>
        <v>4.8135000000000003</v>
      </c>
      <c r="F10" s="4">
        <f>SUMIFS(Raw!$H:$H,Raw!$A:$A,"final_d16",Raw!$C:$C,$A10,Raw!$D:$D,"permit")</f>
        <v>4.82193</v>
      </c>
      <c r="G10" s="9">
        <f t="shared" si="1"/>
        <v>1.7513244001245987E-3</v>
      </c>
      <c r="H10">
        <f>SUMIFS(Raw!$I:$I,Raw!$A:$A,"final_d16",Raw!$C:$C,$A10,Raw!$D:$D,"permit")</f>
        <v>17721</v>
      </c>
      <c r="I10">
        <f>SUMIFS(Raw!$J:$J,Raw!$A:$A,"final_d16",Raw!$C:$C,$A10,Raw!$D:$D,"permit")</f>
        <v>412496</v>
      </c>
      <c r="J10">
        <f>SUMIFS(Raw!$K:$K,Raw!$A:$A,"final_d16",Raw!$C:$C,$A10,Raw!$D:$D,"permit")-SUMIFS(Raw!$K:$K,Raw!$A:$A,"final_d16",Raw!$C:$C,$A10,Raw!$D:$D,"discard")</f>
        <v>12044</v>
      </c>
      <c r="K10">
        <f>SUMIFS(Raw!$L:$L,Raw!$A:$A,"final_d16",Raw!$C:$C,$A10,Raw!$D:$D,"permit")-SUMIFS(Raw!$L:$L,Raw!$A:$A,"final_d16",Raw!$C:$C,$A10,Raw!$D:$D,"discard")</f>
        <v>108475</v>
      </c>
      <c r="L10">
        <f>SUMIFS(Raw!$M:$M,Raw!$A:$A,"final_d16",Raw!$C:$C,$A10,Raw!$D:$D,"permit")-SUMIFS(Raw!$M:$M,Raw!$A:$A,"final_d16",Raw!$C:$C,$A10,Raw!$D:$D,"discard")</f>
        <v>76</v>
      </c>
      <c r="M10" s="10">
        <f t="shared" si="2"/>
        <v>9.0065592826303558</v>
      </c>
    </row>
    <row r="11" spans="1:13" x14ac:dyDescent="0.25">
      <c r="A11" s="1" t="s">
        <v>51</v>
      </c>
      <c r="B11" s="5"/>
      <c r="C11" s="5"/>
      <c r="D11" s="5">
        <f>GEOMEAN(D5:D10)</f>
        <v>1.0254440490878562</v>
      </c>
      <c r="E11" s="7"/>
      <c r="F11" s="7"/>
      <c r="G11" s="11"/>
      <c r="H11" s="1"/>
      <c r="I11" s="1"/>
      <c r="J11" s="1"/>
      <c r="K11" s="1"/>
      <c r="L11" s="1"/>
      <c r="M11" s="12"/>
    </row>
    <row r="13" spans="1:13" x14ac:dyDescent="0.25">
      <c r="A13" s="1" t="s">
        <v>59</v>
      </c>
    </row>
    <row r="14" spans="1:13" x14ac:dyDescent="0.25">
      <c r="A14" t="s">
        <v>84</v>
      </c>
    </row>
    <row r="15" spans="1:13" x14ac:dyDescent="0.25">
      <c r="A15" t="s">
        <v>85</v>
      </c>
    </row>
    <row r="16" spans="1:13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38" spans="1:11" x14ac:dyDescent="0.25">
      <c r="A38" s="1" t="s">
        <v>89</v>
      </c>
    </row>
    <row r="39" spans="1:11" x14ac:dyDescent="0.25">
      <c r="A39" s="1" t="s">
        <v>2</v>
      </c>
      <c r="B39" s="1" t="s">
        <v>90</v>
      </c>
      <c r="C39" s="1" t="s">
        <v>91</v>
      </c>
      <c r="D39" s="1" t="s">
        <v>92</v>
      </c>
      <c r="E39" s="1" t="s">
        <v>93</v>
      </c>
      <c r="F39" s="1" t="s">
        <v>94</v>
      </c>
      <c r="G39" s="1" t="s">
        <v>95</v>
      </c>
      <c r="H39" s="1" t="s">
        <v>96</v>
      </c>
      <c r="I39" s="1" t="s">
        <v>97</v>
      </c>
      <c r="J39" s="1" t="s">
        <v>98</v>
      </c>
      <c r="K39" s="1" t="s">
        <v>99</v>
      </c>
    </row>
    <row r="40" spans="1:11" x14ac:dyDescent="0.25">
      <c r="A40" t="s">
        <v>28</v>
      </c>
      <c r="B40" s="2">
        <f>SUMIFS(Raw!$G:$G,Raw!$A:$A,"final_d16",Raw!$C:$C,$A40,Raw!$D:$D,"permit")/SUMIFS(Raw!$G:$G,Raw!$A:$A,"final_d16",Raw!$C:$C,$A40,Raw!$D:$D,"discard")</f>
        <v>1.091026748867542</v>
      </c>
      <c r="C40" s="2">
        <f>SUMIFS(Raw!$G:$G,Raw!$A:$A,"final_d16free",Raw!$C:$C,$A40,Raw!$D:$D,"permit")/SUMIFS(Raw!$G:$G,Raw!$A:$A,"final_d16free",Raw!$C:$C,$A40,Raw!$D:$D,"discard")</f>
        <v>1.1273377928473893</v>
      </c>
      <c r="D40" s="2">
        <f>SUMIFS(Raw!$G:$G,Raw!$A:$A,"final_d16free",Raw!$C:$C,$A40,Raw!$D:$D,"permit")/SUMIFS(Raw!$G:$G,Raw!$A:$A,"final_d16",Raw!$C:$C,$A40,Raw!$D:$D,"permit")</f>
        <v>1.0438879378316368</v>
      </c>
      <c r="E40" s="2">
        <f>SUMIFS(Raw!$G:$G,Raw!$A:$A,"final_d16free",Raw!$C:$C,$A40,Raw!$D:$D,"discard")/SUMIFS(Raw!$G:$G,Raw!$A:$A,"final_d16",Raw!$C:$C,$A40,Raw!$D:$D,"discard")</f>
        <v>1.0102647762015291</v>
      </c>
      <c r="F40">
        <f>SUMIFS(Raw!$J:$J,Raw!$A:$A,"final_d16",Raw!$C:$C,$A40,Raw!$D:$D,"permit")</f>
        <v>14876057</v>
      </c>
      <c r="G40">
        <f>SUMIFS(Raw!$J:$J,Raw!$A:$A,"final_d16free",Raw!$C:$C,$A40,Raw!$D:$D,"permit")</f>
        <v>17725177</v>
      </c>
      <c r="H40">
        <f>SUMIFS(Raw!$M:$M,Raw!$A:$A,"final_d16",Raw!$C:$C,$A40,Raw!$D:$D,"permit")</f>
        <v>251609</v>
      </c>
      <c r="I40">
        <f>SUMIFS(Raw!$M:$M,Raw!$A:$A,"final_d16free",Raw!$C:$C,$A40,Raw!$D:$D,"permit")</f>
        <v>161556</v>
      </c>
      <c r="J40" s="4">
        <f>SUMIFS(Raw!$H:$H,Raw!$A:$A,"final_d16",Raw!$C:$C,$A40,Raw!$D:$D,"permit")</f>
        <v>8.0360000000000001E-2</v>
      </c>
      <c r="K40" s="4">
        <f>SUMIFS(Raw!$H:$H,Raw!$A:$A,"final_d16free",Raw!$C:$C,$A40,Raw!$D:$D,"permit")</f>
        <v>8.0369999999999997E-2</v>
      </c>
    </row>
    <row r="41" spans="1:11" x14ac:dyDescent="0.25">
      <c r="A41" t="s">
        <v>29</v>
      </c>
      <c r="B41" s="2">
        <f>SUMIFS(Raw!$G:$G,Raw!$A:$A,"final_d16",Raw!$C:$C,$A41,Raw!$D:$D,"permit")/SUMIFS(Raw!$G:$G,Raw!$A:$A,"final_d16",Raw!$C:$C,$A41,Raw!$D:$D,"discard")</f>
        <v>1.0650091266736958</v>
      </c>
      <c r="C41" s="2">
        <f>SUMIFS(Raw!$G:$G,Raw!$A:$A,"final_d16free",Raw!$C:$C,$A41,Raw!$D:$D,"permit")/SUMIFS(Raw!$G:$G,Raw!$A:$A,"final_d16free",Raw!$C:$C,$A41,Raw!$D:$D,"discard")</f>
        <v>1.0635860219919453</v>
      </c>
      <c r="D41" s="2">
        <f>SUMIFS(Raw!$G:$G,Raw!$A:$A,"final_d16free",Raw!$C:$C,$A41,Raw!$D:$D,"permit")/SUMIFS(Raw!$G:$G,Raw!$A:$A,"final_d16",Raw!$C:$C,$A41,Raw!$D:$D,"permit")</f>
        <v>1.0008489732480279</v>
      </c>
      <c r="E41" s="2">
        <f>SUMIFS(Raw!$G:$G,Raw!$A:$A,"final_d16free",Raw!$C:$C,$A41,Raw!$D:$D,"discard")/SUMIFS(Raw!$G:$G,Raw!$A:$A,"final_d16",Raw!$C:$C,$A41,Raw!$D:$D,"discard")</f>
        <v>1.0021881341904471</v>
      </c>
      <c r="F41">
        <f>SUMIFS(Raw!$J:$J,Raw!$A:$A,"final_d16",Raw!$C:$C,$A41,Raw!$D:$D,"permit")</f>
        <v>4398148</v>
      </c>
      <c r="G41">
        <f>SUMIFS(Raw!$J:$J,Raw!$A:$A,"final_d16free",Raw!$C:$C,$A41,Raw!$D:$D,"permit")</f>
        <v>5237711</v>
      </c>
      <c r="H41">
        <f>SUMIFS(Raw!$M:$M,Raw!$A:$A,"final_d16",Raw!$C:$C,$A41,Raw!$D:$D,"permit")</f>
        <v>69465</v>
      </c>
      <c r="I41">
        <f>SUMIFS(Raw!$M:$M,Raw!$A:$A,"final_d16free",Raw!$C:$C,$A41,Raw!$D:$D,"permit")</f>
        <v>45524</v>
      </c>
      <c r="J41" s="4">
        <f>SUMIFS(Raw!$H:$H,Raw!$A:$A,"final_d16",Raw!$C:$C,$A41,Raw!$D:$D,"permit")</f>
        <v>1.2964</v>
      </c>
      <c r="K41" s="4">
        <f>SUMIFS(Raw!$H:$H,Raw!$A:$A,"final_d16free",Raw!$C:$C,$A41,Raw!$D:$D,"permit")</f>
        <v>1.2981799999999999</v>
      </c>
    </row>
    <row r="42" spans="1:11" x14ac:dyDescent="0.25">
      <c r="A42" t="s">
        <v>33</v>
      </c>
      <c r="B42" s="2">
        <f>SUMIFS(Raw!$G:$G,Raw!$A:$A,"final_d16",Raw!$C:$C,$A42,Raw!$D:$D,"permit")/SUMIFS(Raw!$G:$G,Raw!$A:$A,"final_d16",Raw!$C:$C,$A42,Raw!$D:$D,"discard")</f>
        <v>1.0031892345836999</v>
      </c>
      <c r="C42" s="2">
        <f>SUMIFS(Raw!$G:$G,Raw!$A:$A,"final_d16free",Raw!$C:$C,$A42,Raw!$D:$D,"permit")/SUMIFS(Raw!$G:$G,Raw!$A:$A,"final_d16free",Raw!$C:$C,$A42,Raw!$D:$D,"discard")</f>
        <v>0.99998000539854248</v>
      </c>
      <c r="D42" s="2">
        <f>SUMIFS(Raw!$G:$G,Raw!$A:$A,"final_d16free",Raw!$C:$C,$A42,Raw!$D:$D,"permit")/SUMIFS(Raw!$G:$G,Raw!$A:$A,"final_d16",Raw!$C:$C,$A42,Raw!$D:$D,"permit")</f>
        <v>0.99683087011550386</v>
      </c>
      <c r="E42" s="2">
        <f>SUMIFS(Raw!$G:$G,Raw!$A:$A,"final_d16free",Raw!$C:$C,$A42,Raw!$D:$D,"discard")/SUMIFS(Raw!$G:$G,Raw!$A:$A,"final_d16",Raw!$C:$C,$A42,Raw!$D:$D,"discard")</f>
        <v>1.0000299928017276</v>
      </c>
      <c r="F42">
        <f>SUMIFS(Raw!$J:$J,Raw!$A:$A,"final_d16",Raw!$C:$C,$A42,Raw!$D:$D,"permit")</f>
        <v>4892149</v>
      </c>
      <c r="G42">
        <f>SUMIFS(Raw!$J:$J,Raw!$A:$A,"final_d16free",Raw!$C:$C,$A42,Raw!$D:$D,"permit")</f>
        <v>5946826</v>
      </c>
      <c r="H42">
        <f>SUMIFS(Raw!$M:$M,Raw!$A:$A,"final_d16",Raw!$C:$C,$A42,Raw!$D:$D,"permit")</f>
        <v>10728</v>
      </c>
      <c r="I42">
        <f>SUMIFS(Raw!$M:$M,Raw!$A:$A,"final_d16free",Raw!$C:$C,$A42,Raw!$D:$D,"permit")</f>
        <v>8796</v>
      </c>
      <c r="J42" s="4">
        <f>SUMIFS(Raw!$H:$H,Raw!$A:$A,"final_d16",Raw!$C:$C,$A42,Raw!$D:$D,"permit")</f>
        <v>0.13718</v>
      </c>
      <c r="K42" s="4">
        <f>SUMIFS(Raw!$H:$H,Raw!$A:$A,"final_d16free",Raw!$C:$C,$A42,Raw!$D:$D,"permit")</f>
        <v>0.13718</v>
      </c>
    </row>
    <row r="43" spans="1:11" x14ac:dyDescent="0.25">
      <c r="A43" t="s">
        <v>30</v>
      </c>
      <c r="B43" s="2">
        <f>SUMIFS(Raw!$G:$G,Raw!$A:$A,"final_d16",Raw!$C:$C,$A43,Raw!$D:$D,"permit")/SUMIFS(Raw!$G:$G,Raw!$A:$A,"final_d16",Raw!$C:$C,$A43,Raw!$D:$D,"discard")</f>
        <v>0.99835963733367972</v>
      </c>
      <c r="C43" s="2">
        <f>SUMIFS(Raw!$G:$G,Raw!$A:$A,"final_d16free",Raw!$C:$C,$A43,Raw!$D:$D,"permit")/SUMIFS(Raw!$G:$G,Raw!$A:$A,"final_d16free",Raw!$C:$C,$A43,Raw!$D:$D,"discard")</f>
        <v>0.99805943488145499</v>
      </c>
      <c r="D43" s="2">
        <f>SUMIFS(Raw!$G:$G,Raw!$A:$A,"final_d16free",Raw!$C:$C,$A43,Raw!$D:$D,"permit")/SUMIFS(Raw!$G:$G,Raw!$A:$A,"final_d16",Raw!$C:$C,$A43,Raw!$D:$D,"permit")</f>
        <v>0.99983325402732204</v>
      </c>
      <c r="E43" s="2">
        <f>SUMIFS(Raw!$G:$G,Raw!$A:$A,"final_d16free",Raw!$C:$C,$A43,Raw!$D:$D,"discard")/SUMIFS(Raw!$G:$G,Raw!$A:$A,"final_d16",Raw!$C:$C,$A43,Raw!$D:$D,"discard")</f>
        <v>1.0001339900197737</v>
      </c>
      <c r="F43">
        <f>SUMIFS(Raw!$J:$J,Raw!$A:$A,"final_d16",Raw!$C:$C,$A43,Raw!$D:$D,"permit")</f>
        <v>953407</v>
      </c>
      <c r="G43">
        <f>SUMIFS(Raw!$J:$J,Raw!$A:$A,"final_d16free",Raw!$C:$C,$A43,Raw!$D:$D,"permit")</f>
        <v>975989</v>
      </c>
      <c r="H43">
        <f>SUMIFS(Raw!$M:$M,Raw!$A:$A,"final_d16",Raw!$C:$C,$A43,Raw!$D:$D,"permit")</f>
        <v>68</v>
      </c>
      <c r="I43">
        <f>SUMIFS(Raw!$M:$M,Raw!$A:$A,"final_d16free",Raw!$C:$C,$A43,Raw!$D:$D,"permit")</f>
        <v>63</v>
      </c>
      <c r="J43" s="4">
        <f>SUMIFS(Raw!$H:$H,Raw!$A:$A,"final_d16",Raw!$C:$C,$A43,Raw!$D:$D,"permit")</f>
        <v>8.1095199999999998</v>
      </c>
      <c r="K43" s="4">
        <f>SUMIFS(Raw!$H:$H,Raw!$A:$A,"final_d16free",Raw!$C:$C,$A43,Raw!$D:$D,"permit")</f>
        <v>8.0764300000000002</v>
      </c>
    </row>
    <row r="44" spans="1:11" x14ac:dyDescent="0.25">
      <c r="A44" t="s">
        <v>31</v>
      </c>
      <c r="B44" s="2">
        <f>SUMIFS(Raw!$G:$G,Raw!$A:$A,"final_d16",Raw!$C:$C,$A44,Raw!$D:$D,"permit")/SUMIFS(Raw!$G:$G,Raw!$A:$A,"final_d16",Raw!$C:$C,$A44,Raw!$D:$D,"discard")</f>
        <v>0.99914185299381197</v>
      </c>
      <c r="C44" s="2">
        <f>SUMIFS(Raw!$G:$G,Raw!$A:$A,"final_d16free",Raw!$C:$C,$A44,Raw!$D:$D,"permit")/SUMIFS(Raw!$G:$G,Raw!$A:$A,"final_d16free",Raw!$C:$C,$A44,Raw!$D:$D,"discard")</f>
        <v>0.99892624279849584</v>
      </c>
      <c r="D44" s="2">
        <f>SUMIFS(Raw!$G:$G,Raw!$A:$A,"final_d16free",Raw!$C:$C,$A44,Raw!$D:$D,"permit")/SUMIFS(Raw!$G:$G,Raw!$A:$A,"final_d16",Raw!$C:$C,$A44,Raw!$D:$D,"permit")</f>
        <v>0.9997885159864649</v>
      </c>
      <c r="E44" s="2">
        <f>SUMIFS(Raw!$G:$G,Raw!$A:$A,"final_d16free",Raw!$C:$C,$A44,Raw!$D:$D,"discard")/SUMIFS(Raw!$G:$G,Raw!$A:$A,"final_d16",Raw!$C:$C,$A44,Raw!$D:$D,"discard")</f>
        <v>1.0000043122965134</v>
      </c>
      <c r="F44">
        <f>SUMIFS(Raw!$J:$J,Raw!$A:$A,"final_d16",Raw!$C:$C,$A44,Raw!$D:$D,"permit")</f>
        <v>100895</v>
      </c>
      <c r="G44">
        <f>SUMIFS(Raw!$J:$J,Raw!$A:$A,"final_d16free",Raw!$C:$C,$A44,Raw!$D:$D,"permit")</f>
        <v>107925</v>
      </c>
      <c r="H44">
        <f>SUMIFS(Raw!$M:$M,Raw!$A:$A,"final_d16",Raw!$C:$C,$A44,Raw!$D:$D,"permit")</f>
        <v>95</v>
      </c>
      <c r="I44">
        <f>SUMIFS(Raw!$M:$M,Raw!$A:$A,"final_d16free",Raw!$C:$C,$A44,Raw!$D:$D,"permit")</f>
        <v>106</v>
      </c>
      <c r="J44" s="4">
        <f>SUMIFS(Raw!$H:$H,Raw!$A:$A,"final_d16",Raw!$C:$C,$A44,Raw!$D:$D,"permit")</f>
        <v>4.4396199999999997</v>
      </c>
      <c r="K44" s="4">
        <f>SUMIFS(Raw!$H:$H,Raw!$A:$A,"final_d16free",Raw!$C:$C,$A44,Raw!$D:$D,"permit")</f>
        <v>4.2802100000000003</v>
      </c>
    </row>
    <row r="45" spans="1:11" x14ac:dyDescent="0.25">
      <c r="A45" t="s">
        <v>32</v>
      </c>
      <c r="B45" s="2">
        <f>SUMIFS(Raw!$G:$G,Raw!$A:$A,"final_d16",Raw!$C:$C,$A45,Raw!$D:$D,"permit")/SUMIFS(Raw!$G:$G,Raw!$A:$A,"final_d16",Raw!$C:$C,$A45,Raw!$D:$D,"discard")</f>
        <v>0.99996789704224753</v>
      </c>
      <c r="C45" s="2">
        <f>SUMIFS(Raw!$G:$G,Raw!$A:$A,"final_d16free",Raw!$C:$C,$A45,Raw!$D:$D,"permit")/SUMIFS(Raw!$G:$G,Raw!$A:$A,"final_d16free",Raw!$C:$C,$A45,Raw!$D:$D,"discard")</f>
        <v>0.99808101128565119</v>
      </c>
      <c r="D45" s="2">
        <f>SUMIFS(Raw!$G:$G,Raw!$A:$A,"final_d16free",Raw!$C:$C,$A45,Raw!$D:$D,"permit")/SUMIFS(Raw!$G:$G,Raw!$A:$A,"final_d16",Raw!$C:$C,$A45,Raw!$D:$D,"permit")</f>
        <v>0.99814153578346221</v>
      </c>
      <c r="E45" s="2">
        <f>SUMIFS(Raw!$G:$G,Raw!$A:$A,"final_d16free",Raw!$C:$C,$A45,Raw!$D:$D,"discard")/SUMIFS(Raw!$G:$G,Raw!$A:$A,"final_d16",Raw!$C:$C,$A45,Raw!$D:$D,"discard")</f>
        <v>1.0000285359624468</v>
      </c>
      <c r="F45">
        <f>SUMIFS(Raw!$J:$J,Raw!$A:$A,"final_d16",Raw!$C:$C,$A45,Raw!$D:$D,"permit")</f>
        <v>412496</v>
      </c>
      <c r="G45">
        <f>SUMIFS(Raw!$J:$J,Raw!$A:$A,"final_d16free",Raw!$C:$C,$A45,Raw!$D:$D,"permit")</f>
        <v>475887</v>
      </c>
      <c r="H45">
        <f>SUMIFS(Raw!$M:$M,Raw!$A:$A,"final_d16",Raw!$C:$C,$A45,Raw!$D:$D,"permit")</f>
        <v>822</v>
      </c>
      <c r="I45">
        <f>SUMIFS(Raw!$M:$M,Raw!$A:$A,"final_d16free",Raw!$C:$C,$A45,Raw!$D:$D,"permit")</f>
        <v>926</v>
      </c>
      <c r="J45" s="4">
        <f>SUMIFS(Raw!$H:$H,Raw!$A:$A,"final_d16",Raw!$C:$C,$A45,Raw!$D:$D,"permit")</f>
        <v>4.82193</v>
      </c>
      <c r="K45" s="4">
        <f>SUMIFS(Raw!$H:$H,Raw!$A:$A,"final_d16free",Raw!$C:$C,$A45,Raw!$D:$D,"permit")</f>
        <v>4.8135399999999997</v>
      </c>
    </row>
    <row r="46" spans="1:11" x14ac:dyDescent="0.25">
      <c r="A46" s="1" t="s">
        <v>51</v>
      </c>
      <c r="B46" s="5">
        <f>GEOMEAN(B40:B45)</f>
        <v>1.0254440490878562</v>
      </c>
      <c r="C46" s="5">
        <f>GEOMEAN(C40:C45)</f>
        <v>1.0298617713647735</v>
      </c>
      <c r="D46" s="5"/>
      <c r="E46" s="5"/>
      <c r="F46" s="1"/>
      <c r="G46" s="1"/>
      <c r="H46" s="1"/>
      <c r="I46" s="1"/>
      <c r="J46" s="7"/>
      <c r="K46" s="7"/>
    </row>
    <row r="48" spans="1:11" x14ac:dyDescent="0.25">
      <c r="A48" s="1" t="s">
        <v>59</v>
      </c>
    </row>
    <row r="49" spans="1:1" x14ac:dyDescent="0.25">
      <c r="A49" t="s">
        <v>100</v>
      </c>
    </row>
    <row r="50" spans="1:1" x14ac:dyDescent="0.25">
      <c r="A50" t="s">
        <v>101</v>
      </c>
    </row>
    <row r="51" spans="1:1" x14ac:dyDescent="0.25">
      <c r="A51" t="s">
        <v>102</v>
      </c>
    </row>
    <row r="52" spans="1:1" x14ac:dyDescent="0.25">
      <c r="A52" t="s">
        <v>103</v>
      </c>
    </row>
    <row r="53" spans="1:1" x14ac:dyDescent="0.25">
      <c r="A53" t="s">
        <v>104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PA2 traces</vt:lpstr>
      <vt:lpstr>Degree sweep</vt:lpstr>
      <vt:lpstr>SPEC17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Sailesh Sahoo</cp:lastModifiedBy>
  <cp:revision>1</cp:revision>
  <dcterms:created xsi:type="dcterms:W3CDTF">2026-10-27T11:12:49Z</dcterms:created>
  <dcterms:modified xsi:type="dcterms:W3CDTF">2026-10-27T11:17:13Z</dcterms:modified>
  <dc:language>en-US</dc:language>
</cp:coreProperties>
</file>